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ower Budget" sheetId="1" state="visible" r:id="rId1"/>
  </sheets>
  <definedNames>
    <definedName name="_xlnm.Print_Area" localSheetId="0">'Power Budget'!$A$1:$H$72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olor rgb="FF000000"/>
      <sz val="12"/>
    </font>
    <font>
      <name val="Calibri"/>
      <family val="2"/>
      <b val="1"/>
      <color rgb="FF000000"/>
      <sz val="2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i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4"/>
  </cellStyleXfs>
  <cellXfs count="16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2" borderId="1" applyAlignment="1" pivotButton="0" quotePrefix="0" xfId="0">
      <alignment wrapText="1"/>
    </xf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3" fillId="0" borderId="2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5" borderId="0" pivotButton="0" quotePrefix="0" xfId="0"/>
    <xf numFmtId="0" fontId="3" fillId="0" borderId="4" applyAlignment="1" pivotButton="0" quotePrefix="0" xfId="0">
      <alignment horizontal="right"/>
    </xf>
    <xf numFmtId="0" fontId="4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4" fillId="0" borderId="7" pivotButton="0" quotePrefix="0" xfId="0"/>
    <xf numFmtId="0" fontId="2" fillId="0" borderId="6" pivotButton="0" quotePrefix="0" xfId="0"/>
    <xf numFmtId="0" fontId="2" fillId="0" borderId="6" applyAlignment="1" pivotButton="0" quotePrefix="0" xfId="0">
      <alignment horizontal="center"/>
    </xf>
    <xf numFmtId="49" fontId="2" fillId="0" borderId="6" applyAlignment="1" pivotButton="0" quotePrefix="0" xfId="0">
      <alignment horizontal="center"/>
    </xf>
    <xf numFmtId="0" fontId="2" fillId="0" borderId="8" pivotButton="0" quotePrefix="0" xfId="0"/>
    <xf numFmtId="0" fontId="2" fillId="0" borderId="8" applyAlignment="1" pivotButton="0" quotePrefix="0" xfId="0">
      <alignment horizontal="center"/>
    </xf>
    <xf numFmtId="0" fontId="3" fillId="3" borderId="9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/>
    </xf>
    <xf numFmtId="0" fontId="2" fillId="0" borderId="4" pivotButton="0" quotePrefix="0" xfId="0"/>
    <xf numFmtId="0" fontId="3" fillId="0" borderId="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2" fillId="0" borderId="14" pivotButton="0" quotePrefix="0" xfId="0"/>
    <xf numFmtId="0" fontId="2" fillId="0" borderId="15" pivotButton="0" quotePrefix="0" xfId="0"/>
    <xf numFmtId="0" fontId="2" fillId="0" borderId="15" applyAlignment="1" pivotButton="0" quotePrefix="0" xfId="0">
      <alignment horizontal="center"/>
    </xf>
    <xf numFmtId="0" fontId="2" fillId="0" borderId="17" pivotButton="0" quotePrefix="0" xfId="0"/>
    <xf numFmtId="0" fontId="2" fillId="0" borderId="19" pivotButton="0" quotePrefix="0" xfId="0"/>
    <xf numFmtId="0" fontId="2" fillId="0" borderId="10" pivotButton="0" quotePrefix="0" xfId="0"/>
    <xf numFmtId="0" fontId="2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3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5" fillId="0" borderId="8" applyAlignment="1" pivotButton="0" quotePrefix="0" xfId="0">
      <alignment horizontal="right"/>
    </xf>
    <xf numFmtId="0" fontId="2" fillId="0" borderId="21" pivotButton="0" quotePrefix="0" xfId="0"/>
    <xf numFmtId="0" fontId="2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right"/>
    </xf>
    <xf numFmtId="9" fontId="2" fillId="0" borderId="21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left"/>
    </xf>
    <xf numFmtId="49" fontId="5" fillId="0" borderId="4" applyAlignment="1" pivotButton="0" quotePrefix="0" xfId="0">
      <alignment horizontal="right"/>
    </xf>
    <xf numFmtId="0" fontId="2" fillId="0" borderId="6" applyAlignment="1" pivotButton="0" quotePrefix="0" xfId="0">
      <alignment horizontal="left"/>
    </xf>
    <xf numFmtId="49" fontId="5" fillId="0" borderId="8" applyAlignment="1" pivotButton="0" quotePrefix="0" xfId="0">
      <alignment horizontal="right"/>
    </xf>
    <xf numFmtId="0" fontId="4" fillId="0" borderId="8" pivotButton="0" quotePrefix="0" xfId="0"/>
    <xf numFmtId="0" fontId="5" fillId="0" borderId="21" applyAlignment="1" pivotButton="0" quotePrefix="0" xfId="0">
      <alignment horizontal="left" wrapText="1"/>
    </xf>
    <xf numFmtId="0" fontId="2" fillId="0" borderId="21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3" borderId="10" applyAlignment="1" pivotButton="0" quotePrefix="0" xfId="0">
      <alignment vertical="center"/>
    </xf>
    <xf numFmtId="0" fontId="2" fillId="0" borderId="8" applyAlignment="1" pivotButton="0" quotePrefix="0" xfId="0">
      <alignment horizontal="left"/>
    </xf>
    <xf numFmtId="0" fontId="5" fillId="3" borderId="9" applyAlignment="1" pivotButton="0" quotePrefix="0" xfId="0">
      <alignment vertical="center"/>
    </xf>
    <xf numFmtId="0" fontId="5" fillId="3" borderId="23" applyAlignment="1" pivotButton="0" quotePrefix="0" xfId="0">
      <alignment vertical="center"/>
    </xf>
    <xf numFmtId="0" fontId="3" fillId="3" borderId="24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left"/>
    </xf>
    <xf numFmtId="0" fontId="2" fillId="0" borderId="27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7" applyAlignment="1" pivotButton="0" quotePrefix="0" xfId="0">
      <alignment horizontal="left" vertical="center" wrapText="1"/>
    </xf>
    <xf numFmtId="0" fontId="4" fillId="0" borderId="17" pivotButton="0" quotePrefix="0" xfId="0"/>
    <xf numFmtId="0" fontId="4" fillId="0" borderId="28" pivotButton="0" quotePrefix="0" xfId="0"/>
    <xf numFmtId="0" fontId="2" fillId="0" borderId="29" applyAlignment="1" pivotButton="0" quotePrefix="0" xfId="0">
      <alignment horizontal="center"/>
    </xf>
    <xf numFmtId="49" fontId="5" fillId="0" borderId="30" applyAlignment="1" pivotButton="0" quotePrefix="0" xfId="0">
      <alignment horizontal="right"/>
    </xf>
    <xf numFmtId="49" fontId="5" fillId="0" borderId="31" applyAlignment="1" pivotButton="0" quotePrefix="0" xfId="0">
      <alignment horizontal="right"/>
    </xf>
    <xf numFmtId="49" fontId="5" fillId="0" borderId="32" applyAlignment="1" pivotButton="0" quotePrefix="0" xfId="0">
      <alignment horizontal="right"/>
    </xf>
    <xf numFmtId="0" fontId="2" fillId="0" borderId="33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4" pivotButton="0" quotePrefix="0" xfId="0"/>
    <xf numFmtId="0" fontId="5" fillId="0" borderId="35" applyAlignment="1" pivotButton="0" quotePrefix="0" xfId="0">
      <alignment horizontal="right"/>
    </xf>
    <xf numFmtId="0" fontId="5" fillId="0" borderId="36" applyAlignment="1" pivotButton="0" quotePrefix="0" xfId="0">
      <alignment horizontal="right"/>
    </xf>
    <xf numFmtId="0" fontId="5" fillId="0" borderId="37" applyAlignment="1" pivotButton="0" quotePrefix="0" xfId="0">
      <alignment horizontal="right"/>
    </xf>
    <xf numFmtId="0" fontId="5" fillId="0" borderId="38" applyAlignment="1" pivotButton="0" quotePrefix="0" xfId="0">
      <alignment horizontal="right"/>
    </xf>
    <xf numFmtId="0" fontId="5" fillId="0" borderId="39" applyAlignment="1" pivotButton="0" quotePrefix="0" xfId="0">
      <alignment horizontal="right"/>
    </xf>
    <xf numFmtId="0" fontId="5" fillId="0" borderId="40" applyAlignment="1" pivotButton="0" quotePrefix="0" xfId="0">
      <alignment horizontal="right"/>
    </xf>
    <xf numFmtId="0" fontId="2" fillId="0" borderId="13" pivotButton="0" quotePrefix="0" xfId="0"/>
    <xf numFmtId="0" fontId="2" fillId="0" borderId="41" pivotButton="0" quotePrefix="0" xfId="0"/>
    <xf numFmtId="0" fontId="2" fillId="0" borderId="22" pivotButton="0" quotePrefix="0" xfId="0"/>
    <xf numFmtId="0" fontId="5" fillId="0" borderId="4" applyAlignment="1" pivotButton="0" quotePrefix="0" xfId="0">
      <alignment horizontal="left" vertical="center"/>
    </xf>
    <xf numFmtId="49" fontId="5" fillId="0" borderId="4" applyAlignment="1" pivotButton="0" quotePrefix="0" xfId="0">
      <alignment horizontal="right" vertical="center"/>
    </xf>
    <xf numFmtId="0" fontId="4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49" fontId="5" fillId="0" borderId="42" applyAlignment="1" pivotButton="0" quotePrefix="0" xfId="0">
      <alignment horizontal="right"/>
    </xf>
    <xf numFmtId="49" fontId="5" fillId="0" borderId="13" applyAlignment="1" pivotButton="0" quotePrefix="0" xfId="0">
      <alignment horizontal="right"/>
    </xf>
    <xf numFmtId="49" fontId="5" fillId="0" borderId="43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44" applyAlignment="1" pivotButton="0" quotePrefix="0" xfId="0">
      <alignment horizontal="center"/>
    </xf>
    <xf numFmtId="0" fontId="3" fillId="0" borderId="45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49" fontId="5" fillId="0" borderId="46" applyAlignment="1" pivotButton="0" quotePrefix="0" xfId="0">
      <alignment horizontal="right"/>
    </xf>
    <xf numFmtId="0" fontId="2" fillId="0" borderId="47" pivotButton="0" quotePrefix="0" xfId="0"/>
    <xf numFmtId="0" fontId="5" fillId="2" borderId="48" pivotButton="0" quotePrefix="0" xfId="0"/>
    <xf numFmtId="0" fontId="2" fillId="0" borderId="45" pivotButton="0" quotePrefix="0" xfId="0"/>
    <xf numFmtId="0" fontId="2" fillId="2" borderId="45" applyAlignment="1" pivotButton="0" quotePrefix="0" xfId="0">
      <alignment horizontal="center"/>
    </xf>
    <xf numFmtId="0" fontId="2" fillId="2" borderId="49" applyAlignment="1" pivotButton="0" quotePrefix="0" xfId="0">
      <alignment horizontal="center"/>
    </xf>
    <xf numFmtId="0" fontId="2" fillId="0" borderId="50" applyAlignment="1" pivotButton="0" quotePrefix="0" xfId="0">
      <alignment wrapText="1"/>
    </xf>
    <xf numFmtId="0" fontId="2" fillId="0" borderId="51" pivotButton="0" quotePrefix="0" xfId="0"/>
    <xf numFmtId="0" fontId="2" fillId="4" borderId="30" applyAlignment="1" pivotButton="0" quotePrefix="0" xfId="0">
      <alignment horizontal="left" wrapText="1"/>
    </xf>
    <xf numFmtId="0" fontId="2" fillId="0" borderId="31" pivotButton="0" quotePrefix="0" xfId="0"/>
    <xf numFmtId="0" fontId="2" fillId="0" borderId="52" pivotButton="0" quotePrefix="0" xfId="0"/>
    <xf numFmtId="0" fontId="5" fillId="2" borderId="14" applyAlignment="1" pivotButton="0" quotePrefix="0" xfId="0">
      <alignment wrapText="1"/>
    </xf>
    <xf numFmtId="0" fontId="4" fillId="0" borderId="15" pivotButton="0" quotePrefix="0" xfId="0"/>
    <xf numFmtId="0" fontId="5" fillId="2" borderId="15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0" fontId="2" fillId="0" borderId="28" pivotButton="0" quotePrefix="0" xfId="0"/>
    <xf numFmtId="0" fontId="2" fillId="0" borderId="30" pivotButton="0" quotePrefix="0" xfId="0"/>
    <xf numFmtId="0" fontId="2" fillId="0" borderId="31" pivotButton="0" quotePrefix="0" xfId="0"/>
    <xf numFmtId="0" fontId="2" fillId="0" borderId="31" applyAlignment="1" pivotButton="0" quotePrefix="0" xfId="0">
      <alignment horizontal="center"/>
    </xf>
    <xf numFmtId="0" fontId="5" fillId="0" borderId="31" applyAlignment="1" pivotButton="0" quotePrefix="0" xfId="0">
      <alignment horizontal="center"/>
    </xf>
    <xf numFmtId="0" fontId="2" fillId="0" borderId="53" applyAlignment="1" pivotButton="0" quotePrefix="0" xfId="0">
      <alignment horizontal="center"/>
    </xf>
    <xf numFmtId="0" fontId="2" fillId="0" borderId="54" applyAlignment="1" pivotButton="0" quotePrefix="0" xfId="0">
      <alignment horizontal="center"/>
    </xf>
    <xf numFmtId="0" fontId="3" fillId="3" borderId="17" applyAlignment="1" pivotButton="0" quotePrefix="0" xfId="0">
      <alignment vertical="center"/>
    </xf>
    <xf numFmtId="0" fontId="3" fillId="3" borderId="6" applyAlignment="1" pivotButton="0" quotePrefix="0" xfId="0">
      <alignment vertical="center"/>
    </xf>
    <xf numFmtId="0" fontId="3" fillId="3" borderId="18" applyAlignment="1" pivotButton="0" quotePrefix="0" xfId="0">
      <alignment horizontal="center" vertical="center"/>
    </xf>
    <xf numFmtId="0" fontId="5" fillId="0" borderId="4" applyAlignment="1" pivotButton="0" quotePrefix="0" xfId="0">
      <alignment wrapText="1"/>
    </xf>
    <xf numFmtId="0" fontId="5" fillId="0" borderId="4" applyAlignment="1" pivotButton="0" quotePrefix="0" xfId="0">
      <alignment horizontal="center" wrapText="1"/>
    </xf>
    <xf numFmtId="0" fontId="2" fillId="0" borderId="21" applyAlignment="1" pivotButton="0" quotePrefix="0" xfId="0">
      <alignment vertical="center" wrapText="1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1" fillId="5" borderId="4" applyAlignment="1" pivotButton="0" quotePrefix="0" xfId="0">
      <alignment horizontal="center"/>
    </xf>
    <xf numFmtId="0" fontId="5" fillId="2" borderId="66" applyAlignment="1" pivotButton="0" quotePrefix="0" xfId="0">
      <alignment wrapText="1"/>
    </xf>
    <xf numFmtId="0" fontId="0" fillId="0" borderId="67" pivotButton="0" quotePrefix="0" xfId="0"/>
    <xf numFmtId="0" fontId="0" fillId="0" borderId="68" pivotButton="0" quotePrefix="0" xfId="0"/>
    <xf numFmtId="0" fontId="0" fillId="0" borderId="13" pivotButton="0" quotePrefix="0" xfId="0"/>
    <xf numFmtId="0" fontId="0" fillId="0" borderId="43" pivotButton="0" quotePrefix="0" xfId="0"/>
    <xf numFmtId="0" fontId="0" fillId="0" borderId="39" pivotButton="0" quotePrefix="0" xfId="0"/>
    <xf numFmtId="0" fontId="0" fillId="0" borderId="40" pivotButton="0" quotePrefix="0" xfId="0"/>
    <xf numFmtId="0" fontId="5" fillId="0" borderId="55" applyAlignment="1" pivotButton="0" quotePrefix="0" xfId="0">
      <alignment horizontal="right"/>
    </xf>
    <xf numFmtId="0" fontId="0" fillId="0" borderId="36" pivotButton="0" quotePrefix="0" xfId="0"/>
    <xf numFmtId="0" fontId="0" fillId="0" borderId="37" pivotButton="0" quotePrefix="0" xfId="0"/>
    <xf numFmtId="0" fontId="0" fillId="0" borderId="60" pivotButton="0" quotePrefix="0" xfId="0"/>
    <xf numFmtId="0" fontId="0" fillId="0" borderId="26" pivotButton="0" quotePrefix="0" xfId="0"/>
    <xf numFmtId="49" fontId="5" fillId="0" borderId="65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61" pivotButton="0" quotePrefix="0" xfId="0"/>
    <xf numFmtId="0" fontId="0" fillId="0" borderId="46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45" pivotButton="0" quotePrefix="0" xfId="0"/>
    <xf numFmtId="0" fontId="2" fillId="0" borderId="58" applyAlignment="1" pivotButton="0" quotePrefix="0" xfId="0">
      <alignment vertical="top" wrapText="1"/>
    </xf>
    <xf numFmtId="0" fontId="0" fillId="0" borderId="51" pivotButton="0" quotePrefix="0" xfId="0"/>
    <xf numFmtId="0" fontId="2" fillId="4" borderId="59" applyAlignment="1" pivotButton="0" quotePrefix="0" xfId="0">
      <alignment vertical="top" wrapText="1"/>
    </xf>
    <xf numFmtId="0" fontId="0" fillId="0" borderId="52" pivotButton="0" quotePrefix="0" xfId="0"/>
    <xf numFmtId="0" fontId="0" fillId="0" borderId="0" applyAlignment="1" pivotButton="0" quotePrefix="0" xfId="0">
      <alignment vertical="top" wrapText="1"/>
    </xf>
    <xf numFmtId="164" fontId="2" fillId="0" borderId="53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F8" authorId="0" shapeId="0">
      <text>
        <t>For inductive loads (e.g., motors, solenoids) this is often called "stall current" on the data sheet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72"/>
  <sheetViews>
    <sheetView tabSelected="1" topLeftCell="A32" workbookViewId="0">
      <selection activeCell="A47" sqref="A47"/>
    </sheetView>
  </sheetViews>
  <sheetFormatPr baseColWidth="8" defaultColWidth="13.5" defaultRowHeight="15.75" customHeight="1"/>
  <cols>
    <col width="22.5" customWidth="1" style="1" min="1" max="1"/>
    <col width="20.125" customWidth="1" style="1" min="2" max="2"/>
    <col width="15.75" customWidth="1" style="1" min="3" max="3"/>
    <col width="11.5" customWidth="1" style="1" min="4" max="4"/>
    <col width="7.25" customWidth="1" style="1" min="5" max="5"/>
    <col width="12.375" customWidth="1" style="6" min="6" max="6"/>
    <col width="11.375" customWidth="1" style="6" min="7" max="7"/>
    <col width="9" customWidth="1" style="6" min="8" max="8"/>
    <col width="13.5" customWidth="1" style="1" min="9" max="16384"/>
  </cols>
  <sheetData>
    <row r="1" ht="30" customHeight="1">
      <c r="A1" s="133" t="inlineStr">
        <is>
          <t>Power Budget - LiDAR Subsystem (Daughter Board)</t>
        </is>
      </c>
    </row>
    <row r="2" ht="15" customHeight="1">
      <c r="A2" s="15" t="inlineStr">
        <is>
          <t>Team Number:</t>
        </is>
      </c>
      <c r="B2" s="16" t="inlineStr">
        <is>
          <t>Team 1 (Group 101)</t>
        </is>
      </c>
      <c r="D2" s="2" t="n"/>
      <c r="E2" s="2" t="n"/>
    </row>
    <row r="3" ht="15" customHeight="1">
      <c r="A3" s="15" t="inlineStr">
        <is>
          <t>Project Name:</t>
        </is>
      </c>
      <c r="B3" s="17" t="inlineStr">
        <is>
          <t>OpenField</t>
        </is>
      </c>
      <c r="C3" s="3" t="n"/>
      <c r="D3" s="2" t="n"/>
      <c r="E3" s="2" t="n"/>
      <c r="F3" s="2" t="n"/>
      <c r="G3" s="2" t="n"/>
      <c r="H3" s="2" t="n"/>
    </row>
    <row r="4" ht="15" customHeight="1">
      <c r="A4" s="15" t="inlineStr">
        <is>
          <t>Team Member Names:</t>
        </is>
      </c>
      <c r="B4" s="17" t="inlineStr">
        <is>
          <t>Landon Kuhman (LiDAR subsystem)</t>
        </is>
      </c>
      <c r="C4" s="3" t="n"/>
      <c r="D4" s="2" t="n"/>
      <c r="E4" s="2" t="n"/>
      <c r="F4" s="2" t="n"/>
      <c r="G4" s="2" t="n"/>
      <c r="H4" s="2" t="n"/>
    </row>
    <row r="5" ht="15" customHeight="1">
      <c r="A5" s="15" t="inlineStr">
        <is>
          <t>Version:</t>
        </is>
      </c>
      <c r="B5" s="17" t="inlineStr">
        <is>
          <t>1.1 (10/28/2026)</t>
        </is>
      </c>
      <c r="C5" s="3" t="n"/>
      <c r="D5" s="2" t="n"/>
      <c r="E5" s="2" t="n"/>
      <c r="F5" s="2" t="n"/>
      <c r="G5" s="2" t="n"/>
      <c r="H5" s="2" t="n"/>
    </row>
    <row r="6" ht="15" customHeight="1">
      <c r="A6" s="3" t="n"/>
      <c r="B6" s="3" t="n"/>
      <c r="C6" s="3" t="n"/>
      <c r="D6" s="2" t="n"/>
      <c r="E6" s="2" t="n"/>
      <c r="F6" s="2" t="n"/>
      <c r="G6" s="2" t="n"/>
      <c r="H6" s="2" t="n"/>
    </row>
    <row r="7" hidden="1" ht="15" customHeight="1">
      <c r="A7" s="134" t="inlineStr">
        <is>
          <t>A. List ALL major components (active devices, integrated circuits, etc.) except for power sources, voltage regulators, resistors, capacitors, or passive elements</t>
        </is>
      </c>
      <c r="B7" s="135" t="n"/>
      <c r="C7" s="135" t="n"/>
      <c r="D7" s="135" t="n"/>
      <c r="E7" s="135" t="n"/>
      <c r="F7" s="135" t="n"/>
      <c r="G7" s="135" t="n"/>
      <c r="H7" s="136" t="n"/>
    </row>
    <row r="8" ht="48" customHeight="1" thickBot="1">
      <c r="A8" s="25" t="inlineStr">
        <is>
          <t>All Major Components</t>
        </is>
      </c>
      <c r="B8" s="26" t="inlineStr">
        <is>
          <t>Component Name</t>
        </is>
      </c>
      <c r="C8" s="26" t="inlineStr">
        <is>
          <t>Part Number</t>
        </is>
      </c>
      <c r="D8" s="27" t="inlineStr">
        <is>
          <t>Supply Voltage Range</t>
        </is>
      </c>
      <c r="E8" s="26" t="inlineStr">
        <is>
          <t>Qty.</t>
        </is>
      </c>
      <c r="F8" s="27" t="inlineStr">
        <is>
          <t>Absolute Maximum Current (mA)</t>
        </is>
      </c>
      <c r="G8" s="27" t="inlineStr">
        <is>
          <t>Total Current
(mA)</t>
        </is>
      </c>
      <c r="H8" s="26" t="inlineStr">
        <is>
          <t>Unit</t>
        </is>
      </c>
    </row>
    <row r="9" ht="15" customHeight="1">
      <c r="A9" s="5" t="n"/>
      <c r="B9" s="32" t="inlineStr">
        <is>
          <t>ToF LiDAR (D500)</t>
        </is>
      </c>
      <c r="C9" s="33" t="inlineStr">
        <is>
          <t>STL-19P</t>
        </is>
      </c>
      <c r="D9" s="34" t="inlineStr">
        <is>
          <t xml:space="preserve"> +4.5 - 5.5V</t>
        </is>
      </c>
      <c r="E9" s="34" t="n">
        <v>1</v>
      </c>
      <c r="F9" s="34" t="n">
        <v>290</v>
      </c>
      <c r="G9" s="34">
        <f>E9*F9</f>
        <v/>
      </c>
      <c r="H9" s="42" t="inlineStr">
        <is>
          <t>mA</t>
        </is>
      </c>
    </row>
    <row r="10" ht="15" customHeight="1">
      <c r="A10" s="5" t="n"/>
      <c r="B10" s="35" t="inlineStr">
        <is>
          <t>PIC18F57Q43 Nano</t>
        </is>
      </c>
      <c r="C10" s="20" t="inlineStr">
        <is>
          <t>DM164150</t>
        </is>
      </c>
      <c r="D10" s="21" t="inlineStr">
        <is>
          <t xml:space="preserve"> +4.4 - 5.25V</t>
        </is>
      </c>
      <c r="E10" s="21" t="n">
        <v>1</v>
      </c>
      <c r="F10" s="21" t="n">
        <v>100</v>
      </c>
      <c r="G10" s="21">
        <f>E10*F10</f>
        <v/>
      </c>
      <c r="H10" s="43" t="inlineStr">
        <is>
          <t>mA</t>
        </is>
      </c>
    </row>
    <row r="11" ht="15" customHeight="1">
      <c r="A11" s="5" t="n"/>
      <c r="B11" s="35" t="n"/>
      <c r="C11" s="20" t="n"/>
      <c r="D11" s="21" t="n"/>
      <c r="E11" s="21" t="n"/>
      <c r="F11" s="21" t="n"/>
      <c r="G11" s="21" t="n"/>
      <c r="H11" s="43" t="n"/>
    </row>
    <row r="12" ht="15" customHeight="1">
      <c r="A12" s="5" t="n"/>
      <c r="B12" s="35" t="n"/>
      <c r="C12" s="20" t="n"/>
      <c r="D12" s="22" t="n"/>
      <c r="E12" s="21" t="n"/>
      <c r="F12" s="21" t="n"/>
      <c r="G12" s="21" t="n"/>
      <c r="H12" s="43" t="n"/>
    </row>
    <row r="13" ht="15" customHeight="1">
      <c r="A13" s="5" t="n"/>
      <c r="B13" s="35" t="n"/>
      <c r="C13" s="20" t="n"/>
      <c r="D13" s="21" t="n"/>
      <c r="E13" s="21" t="n"/>
      <c r="F13" s="21" t="n"/>
      <c r="G13" s="21" t="n"/>
      <c r="H13" s="43" t="n"/>
    </row>
    <row r="14" ht="15" customHeight="1" thickBot="1">
      <c r="A14" s="5" t="n"/>
      <c r="B14" s="36" t="n"/>
      <c r="C14" s="37" t="n"/>
      <c r="D14" s="38" t="n"/>
      <c r="E14" s="38" t="n"/>
      <c r="F14" s="38" t="n"/>
      <c r="G14" s="38" t="n"/>
      <c r="H14" s="44" t="n"/>
    </row>
    <row r="15" ht="15" customHeight="1">
      <c r="A15" s="7" t="n"/>
      <c r="B15" s="17" t="n"/>
      <c r="C15" s="17" t="n"/>
      <c r="D15" s="30" t="n"/>
      <c r="E15" s="30" t="n"/>
      <c r="F15" s="30" t="n"/>
      <c r="G15" s="31" t="n"/>
      <c r="H15" s="31" t="n"/>
    </row>
    <row r="16" ht="48" customHeight="1" thickBot="1">
      <c r="A16" s="62" t="inlineStr">
        <is>
          <t xml:space="preserve"> +12V Rail (unused)</t>
        </is>
      </c>
      <c r="B16" s="26" t="inlineStr">
        <is>
          <t>Component Name</t>
        </is>
      </c>
      <c r="C16" s="26" t="inlineStr">
        <is>
          <t>Part Number</t>
        </is>
      </c>
      <c r="D16" s="27" t="inlineStr">
        <is>
          <t>Supply Voltage Range</t>
        </is>
      </c>
      <c r="E16" s="26" t="inlineStr">
        <is>
          <t>Qty.</t>
        </is>
      </c>
      <c r="F16" s="27" t="inlineStr">
        <is>
          <t>Absolute Maximum Current (mA)</t>
        </is>
      </c>
      <c r="G16" s="27" t="inlineStr">
        <is>
          <t>Total Current
(mA)</t>
        </is>
      </c>
      <c r="H16" s="26" t="inlineStr">
        <is>
          <t>Unit</t>
        </is>
      </c>
    </row>
    <row r="17" ht="15" customHeight="1">
      <c r="A17" s="5" t="n"/>
      <c r="B17" s="23" t="inlineStr">
        <is>
          <t>None</t>
        </is>
      </c>
      <c r="C17" s="23" t="n"/>
      <c r="D17" s="24" t="n"/>
      <c r="E17" s="24" t="n">
        <v>0</v>
      </c>
      <c r="F17" s="24" t="n">
        <v>0</v>
      </c>
      <c r="G17" s="24">
        <f>E17*F17</f>
        <v/>
      </c>
      <c r="H17" s="24" t="inlineStr">
        <is>
          <t>mA</t>
        </is>
      </c>
    </row>
    <row r="18" ht="15" customHeight="1">
      <c r="A18" s="5" t="n"/>
      <c r="B18" s="20" t="n"/>
      <c r="C18" s="20" t="n"/>
      <c r="D18" s="21" t="n"/>
      <c r="E18" s="21" t="n"/>
      <c r="F18" s="21" t="n"/>
      <c r="G18" s="21" t="n"/>
      <c r="H18" s="21" t="inlineStr">
        <is>
          <t>mA</t>
        </is>
      </c>
    </row>
    <row r="19" ht="15" customHeight="1" thickBot="1">
      <c r="A19" s="5" t="n"/>
      <c r="B19" s="46" t="n"/>
      <c r="C19" s="46" t="n"/>
      <c r="D19" s="47" t="n"/>
      <c r="E19" s="47" t="n"/>
      <c r="F19" s="47" t="n"/>
      <c r="G19" s="47" t="n"/>
      <c r="H19" s="47" t="inlineStr">
        <is>
          <t>mA</t>
        </is>
      </c>
    </row>
    <row r="20" ht="15" customHeight="1" thickTop="1">
      <c r="A20" s="5" t="n"/>
      <c r="B20" s="79" t="n"/>
      <c r="C20" s="79" t="n"/>
      <c r="D20" s="45" t="inlineStr">
        <is>
          <t xml:space="preserve">Subtotal </t>
        </is>
      </c>
      <c r="E20" s="137" t="n"/>
      <c r="F20" s="138" t="n"/>
      <c r="G20" s="24">
        <f>SUM(G17:G19)</f>
        <v/>
      </c>
      <c r="H20" s="24" t="inlineStr">
        <is>
          <t>mA</t>
        </is>
      </c>
    </row>
    <row r="21" ht="15" customHeight="1" thickBot="1">
      <c r="A21" s="5" t="n"/>
      <c r="B21" s="79" t="n"/>
      <c r="C21" s="79" t="n"/>
      <c r="D21" s="48" t="inlineStr">
        <is>
          <t>Safety Margin</t>
        </is>
      </c>
      <c r="E21" s="139" t="n"/>
      <c r="F21" s="140" t="n"/>
      <c r="G21" s="49" t="n">
        <v>0.25</v>
      </c>
      <c r="H21" s="49" t="n"/>
    </row>
    <row r="22" ht="15" customHeight="1" thickTop="1">
      <c r="A22" s="8" t="n"/>
      <c r="B22" s="79" t="n"/>
      <c r="C22" s="79" t="n"/>
      <c r="D22" s="45" t="inlineStr">
        <is>
          <t>Total Current Required on +12V Rail</t>
        </is>
      </c>
      <c r="E22" s="137" t="n"/>
      <c r="F22" s="138" t="n"/>
      <c r="G22" s="24">
        <f>G20*(1+G21)</f>
        <v/>
      </c>
      <c r="H22" s="24" t="inlineStr">
        <is>
          <t>mA</t>
        </is>
      </c>
    </row>
    <row r="23" ht="15" customHeight="1">
      <c r="A23" s="9" t="n"/>
      <c r="B23" s="10" t="n"/>
      <c r="C23" s="10" t="n"/>
      <c r="D23" s="6" t="n"/>
      <c r="E23" s="6" t="n"/>
      <c r="G23" s="28" t="n"/>
      <c r="H23" s="28" t="n"/>
    </row>
    <row r="24" ht="15" customHeight="1" thickBot="1">
      <c r="A24" s="57" t="inlineStr">
        <is>
          <t>Regulator</t>
        </is>
      </c>
      <c r="B24" s="58" t="inlineStr">
        <is>
          <t>Not used</t>
        </is>
      </c>
      <c r="C24" s="58" t="inlineStr">
        <is>
          <t>N/A</t>
        </is>
      </c>
      <c r="D24" s="47" t="inlineStr">
        <is>
          <t>N/A</t>
        </is>
      </c>
      <c r="E24" s="47" t="n">
        <v>0</v>
      </c>
      <c r="F24" s="47" t="n">
        <v>0</v>
      </c>
      <c r="G24" s="47">
        <f>E24*F24</f>
        <v/>
      </c>
      <c r="H24" s="47" t="inlineStr">
        <is>
          <t>mA</t>
        </is>
      </c>
    </row>
    <row r="25" ht="15" customHeight="1" thickTop="1">
      <c r="A25" s="52" t="n"/>
      <c r="B25" s="55" t="inlineStr">
        <is>
          <t>Total Remaining Current Available on +12V Rail</t>
        </is>
      </c>
      <c r="C25" s="137" t="n"/>
      <c r="D25" s="137" t="n"/>
      <c r="E25" s="137" t="n"/>
      <c r="F25" s="138" t="n"/>
      <c r="G25" s="24">
        <f>G24-G22</f>
        <v/>
      </c>
      <c r="H25" s="24" t="inlineStr">
        <is>
          <t>mA</t>
        </is>
      </c>
    </row>
    <row r="26" ht="15" customHeight="1">
      <c r="A26" s="52" t="n"/>
      <c r="B26" s="53" t="n"/>
      <c r="C26" s="16" t="n"/>
      <c r="D26" s="16" t="n"/>
      <c r="E26" s="16" t="n"/>
      <c r="F26" s="16" t="n"/>
      <c r="G26" s="51" t="n"/>
      <c r="H26" s="51" t="n"/>
    </row>
    <row r="27" ht="48" customHeight="1" thickBot="1">
      <c r="A27" s="60" t="inlineStr">
        <is>
          <t xml:space="preserve"> +5V Power Rail</t>
        </is>
      </c>
      <c r="B27" s="26" t="inlineStr">
        <is>
          <t>Component Name</t>
        </is>
      </c>
      <c r="C27" s="26" t="inlineStr">
        <is>
          <t>Part Number</t>
        </is>
      </c>
      <c r="D27" s="27" t="inlineStr">
        <is>
          <t>Supply
Voltage
Range</t>
        </is>
      </c>
      <c r="E27" s="26" t="inlineStr">
        <is>
          <t>Qty.</t>
        </is>
      </c>
      <c r="F27" s="27" t="inlineStr">
        <is>
          <t>Absolute
Maximum
Current (mA)</t>
        </is>
      </c>
      <c r="G27" s="27" t="inlineStr">
        <is>
          <t>Total
Current
(mA)</t>
        </is>
      </c>
      <c r="H27" s="26" t="inlineStr">
        <is>
          <t>Unit</t>
        </is>
      </c>
    </row>
    <row r="28" ht="15" customHeight="1">
      <c r="A28" s="5" t="n"/>
      <c r="B28" s="23" t="inlineStr">
        <is>
          <t>ToF LiDAR (D500)</t>
        </is>
      </c>
      <c r="C28" s="23" t="inlineStr">
        <is>
          <t>STL-19P</t>
        </is>
      </c>
      <c r="D28" s="24" t="inlineStr">
        <is>
          <t xml:space="preserve"> +4.5 - 5.5V</t>
        </is>
      </c>
      <c r="E28" s="24" t="n">
        <v>1</v>
      </c>
      <c r="F28" s="24" t="n">
        <v>290</v>
      </c>
      <c r="G28" s="24">
        <f>E28*F28</f>
        <v/>
      </c>
      <c r="H28" s="24" t="inlineStr">
        <is>
          <t>mA</t>
        </is>
      </c>
    </row>
    <row r="29" ht="15" customHeight="1">
      <c r="A29" s="5" t="n"/>
      <c r="B29" s="20" t="inlineStr">
        <is>
          <t>PIC18F57Q43 Nano</t>
        </is>
      </c>
      <c r="C29" s="20" t="inlineStr">
        <is>
          <t>DM164150</t>
        </is>
      </c>
      <c r="D29" s="21" t="inlineStr">
        <is>
          <t xml:space="preserve"> +4.4 - 5.25V</t>
        </is>
      </c>
      <c r="E29" s="21" t="n">
        <v>1</v>
      </c>
      <c r="F29" s="21" t="n">
        <v>100</v>
      </c>
      <c r="G29" s="21">
        <f>E29*F29</f>
        <v/>
      </c>
      <c r="H29" s="21" t="inlineStr">
        <is>
          <t>mA</t>
        </is>
      </c>
    </row>
    <row r="30" ht="15" customHeight="1" thickBot="1">
      <c r="A30" s="5" t="n"/>
      <c r="B30" s="46" t="inlineStr">
        <is>
          <t>Indicator LEDs (D1 power, D3/D4 debug)</t>
        </is>
      </c>
      <c r="C30" s="46" t="inlineStr">
        <is>
          <t>Green/red LEDs, 330 R / 1 k</t>
        </is>
      </c>
      <c r="D30" s="47" t="inlineStr">
        <is>
          <t xml:space="preserve"> +3.3 - 5V</t>
        </is>
      </c>
      <c r="E30" s="47" t="n">
        <v>3</v>
      </c>
      <c r="F30" s="47" t="n">
        <v>4</v>
      </c>
      <c r="G30" s="47">
        <f>E30*F30</f>
        <v/>
      </c>
      <c r="H30" s="47" t="inlineStr">
        <is>
          <t>mA</t>
        </is>
      </c>
    </row>
    <row r="31" ht="15" customHeight="1" thickTop="1">
      <c r="A31" s="5" t="n"/>
      <c r="B31" s="79" t="n"/>
      <c r="C31" s="79" t="n"/>
      <c r="D31" s="45" t="inlineStr">
        <is>
          <t xml:space="preserve">Subtotal </t>
        </is>
      </c>
      <c r="E31" s="137" t="n"/>
      <c r="F31" s="138" t="n"/>
      <c r="G31" s="24">
        <f>SUM(G28:G30)</f>
        <v/>
      </c>
      <c r="H31" s="24" t="inlineStr">
        <is>
          <t>mA</t>
        </is>
      </c>
    </row>
    <row r="32" ht="15" customHeight="1" thickBot="1">
      <c r="A32" s="5" t="n"/>
      <c r="D32" s="48" t="inlineStr">
        <is>
          <t>Safety Margin</t>
        </is>
      </c>
      <c r="E32" s="139" t="n"/>
      <c r="F32" s="140" t="n"/>
      <c r="G32" s="49" t="n">
        <v>0.25</v>
      </c>
      <c r="H32" s="49" t="n"/>
    </row>
    <row r="33" ht="15" customHeight="1" thickTop="1">
      <c r="A33" s="8" t="n"/>
      <c r="D33" s="45" t="inlineStr">
        <is>
          <t>Total Current Required on +5V Rail</t>
        </is>
      </c>
      <c r="E33" s="137" t="n"/>
      <c r="F33" s="138" t="n"/>
      <c r="G33" s="24">
        <f>G31*(1+G32)</f>
        <v/>
      </c>
      <c r="H33" s="24" t="inlineStr">
        <is>
          <t>mA</t>
        </is>
      </c>
    </row>
    <row r="34" ht="15" customHeight="1">
      <c r="A34" s="9" t="n"/>
      <c r="B34" s="50" t="n"/>
      <c r="C34" s="50" t="n"/>
      <c r="D34" s="51" t="n"/>
      <c r="E34" s="51" t="n"/>
      <c r="F34" s="51" t="n"/>
      <c r="G34" s="12" t="n"/>
      <c r="H34" s="12" t="n"/>
    </row>
    <row r="35" ht="15" customHeight="1" thickBot="1">
      <c r="A35" s="59" t="inlineStr">
        <is>
          <t>Regulator</t>
        </is>
      </c>
      <c r="B35" s="58" t="inlineStr">
        <is>
          <t xml:space="preserve"> +5V LDO Regulator</t>
        </is>
      </c>
      <c r="C35" s="58" t="inlineStr">
        <is>
          <t>LM2940CT-5.0</t>
        </is>
      </c>
      <c r="D35" s="47" t="inlineStr">
        <is>
          <t xml:space="preserve"> +6V - 26V</t>
        </is>
      </c>
      <c r="E35" s="47" t="n">
        <v>1</v>
      </c>
      <c r="F35" s="47" t="n">
        <v>1000</v>
      </c>
      <c r="G35" s="47">
        <f>E35*F35</f>
        <v/>
      </c>
      <c r="H35" s="47" t="inlineStr">
        <is>
          <t>mA</t>
        </is>
      </c>
    </row>
    <row r="36" ht="15" customHeight="1" thickTop="1">
      <c r="A36" s="52" t="n"/>
      <c r="B36" s="55" t="inlineStr">
        <is>
          <t>Total Remaining Current Available on +5V Rail</t>
        </is>
      </c>
      <c r="C36" s="137" t="n"/>
      <c r="D36" s="137" t="n"/>
      <c r="E36" s="137" t="n"/>
      <c r="F36" s="138" t="n"/>
      <c r="G36" s="24">
        <f>G35-G33</f>
        <v/>
      </c>
      <c r="H36" s="24" t="inlineStr">
        <is>
          <t>mA</t>
        </is>
      </c>
    </row>
    <row r="37" ht="15" customHeight="1">
      <c r="A37" s="89" t="n"/>
      <c r="B37" s="90" t="n"/>
      <c r="C37" s="91" t="n"/>
      <c r="D37" s="91" t="n"/>
      <c r="E37" s="91" t="n"/>
      <c r="F37" s="91" t="n"/>
      <c r="G37" s="92" t="n"/>
      <c r="H37" s="92" t="n"/>
    </row>
    <row r="38" ht="48" customHeight="1" thickBot="1">
      <c r="A38" s="60" t="inlineStr">
        <is>
          <t xml:space="preserve"> +3.3V Rail (unused)</t>
        </is>
      </c>
      <c r="B38" s="26" t="inlineStr">
        <is>
          <t>Component Name</t>
        </is>
      </c>
      <c r="C38" s="26" t="inlineStr">
        <is>
          <t>Part Number</t>
        </is>
      </c>
      <c r="D38" s="27" t="inlineStr">
        <is>
          <t>Supply
Voltage
Range</t>
        </is>
      </c>
      <c r="E38" s="26" t="inlineStr">
        <is>
          <t>Qty.</t>
        </is>
      </c>
      <c r="F38" s="27" t="inlineStr">
        <is>
          <t>Absolute
Maximum
Current (mA)</t>
        </is>
      </c>
      <c r="G38" s="27" t="inlineStr">
        <is>
          <t>Total
Current
(mA)</t>
        </is>
      </c>
      <c r="H38" s="26" t="inlineStr">
        <is>
          <t>Unit</t>
        </is>
      </c>
    </row>
    <row r="39" ht="15" customHeight="1">
      <c r="A39" s="5" t="n"/>
      <c r="B39" s="23" t="inlineStr">
        <is>
          <t>None</t>
        </is>
      </c>
      <c r="C39" s="23" t="n"/>
      <c r="D39" s="24" t="n"/>
      <c r="E39" s="24" t="n">
        <v>0</v>
      </c>
      <c r="F39" s="24" t="n">
        <v>0</v>
      </c>
      <c r="G39" s="24">
        <f>E39*F39</f>
        <v/>
      </c>
      <c r="H39" s="24" t="inlineStr">
        <is>
          <t>mA</t>
        </is>
      </c>
    </row>
    <row r="40" ht="15" customHeight="1" thickBot="1">
      <c r="A40" s="5" t="n"/>
      <c r="B40" s="46" t="n"/>
      <c r="C40" s="46" t="n"/>
      <c r="D40" s="47" t="n"/>
      <c r="E40" s="47" t="n"/>
      <c r="F40" s="47" t="n"/>
      <c r="G40" s="47">
        <f>E40*F40</f>
        <v/>
      </c>
      <c r="H40" s="47" t="inlineStr">
        <is>
          <t>mA</t>
        </is>
      </c>
    </row>
    <row r="41" ht="15" customHeight="1" thickTop="1">
      <c r="A41" s="5" t="n"/>
      <c r="C41" s="87" t="n"/>
      <c r="D41" s="141" t="inlineStr">
        <is>
          <t xml:space="preserve">Subtotal </t>
        </is>
      </c>
      <c r="E41" s="142" t="n"/>
      <c r="F41" s="143" t="n"/>
      <c r="G41" s="24">
        <f>SUM(G38:G40)</f>
        <v/>
      </c>
      <c r="H41" s="24" t="inlineStr">
        <is>
          <t>mA</t>
        </is>
      </c>
    </row>
    <row r="42" ht="15" customHeight="1" thickBot="1">
      <c r="A42" s="5" t="n"/>
      <c r="C42" s="88" t="n"/>
      <c r="D42" s="48" t="inlineStr">
        <is>
          <t>Safety Margin</t>
        </is>
      </c>
      <c r="E42" s="139" t="n"/>
      <c r="F42" s="140" t="n"/>
      <c r="G42" s="49" t="n">
        <v>0.25</v>
      </c>
      <c r="H42" s="49" t="n"/>
    </row>
    <row r="43" ht="15" customHeight="1" thickTop="1">
      <c r="A43" s="5" t="n"/>
      <c r="B43" s="79" t="n"/>
      <c r="C43" s="88" t="n"/>
      <c r="D43" s="141" t="inlineStr">
        <is>
          <t>Total Current Required on +3.3V Rail</t>
        </is>
      </c>
      <c r="E43" s="142" t="n"/>
      <c r="F43" s="143" t="n"/>
      <c r="G43" s="24">
        <f>G41*(1+G42)</f>
        <v/>
      </c>
      <c r="H43" s="24" t="inlineStr">
        <is>
          <t>mA</t>
        </is>
      </c>
    </row>
    <row r="44" ht="15" customHeight="1">
      <c r="A44" s="9" t="n"/>
      <c r="C44" s="86" t="n"/>
      <c r="D44" s="6" t="n"/>
      <c r="E44" s="6" t="n"/>
      <c r="G44" s="96" t="n"/>
      <c r="H44" s="30" t="n"/>
    </row>
    <row r="45" ht="32.25" customHeight="1" thickBot="1">
      <c r="A45" s="132" t="inlineStr">
        <is>
          <t>Regulator</t>
        </is>
      </c>
      <c r="B45" s="128" t="inlineStr">
        <is>
          <t>Not used</t>
        </is>
      </c>
      <c r="C45" s="129" t="inlineStr">
        <is>
          <t>N/A</t>
        </is>
      </c>
      <c r="D45" s="130" t="inlineStr">
        <is>
          <t>N/A</t>
        </is>
      </c>
      <c r="E45" s="130" t="n">
        <v>0</v>
      </c>
      <c r="F45" s="130" t="n">
        <v>0</v>
      </c>
      <c r="G45" s="130">
        <f>E45*F45</f>
        <v/>
      </c>
      <c r="H45" s="130" t="inlineStr">
        <is>
          <t>mA</t>
        </is>
      </c>
    </row>
    <row r="46" ht="15" customHeight="1" thickTop="1">
      <c r="A46" s="79" t="n"/>
      <c r="B46" s="55" t="inlineStr">
        <is>
          <t>Total Remaining Current Available on 3.3V Rail</t>
        </is>
      </c>
      <c r="C46" s="137" t="n"/>
      <c r="D46" s="137" t="n"/>
      <c r="E46" s="137" t="n"/>
      <c r="F46" s="138" t="n"/>
      <c r="G46" s="24">
        <f>G45-G43</f>
        <v/>
      </c>
      <c r="H46" s="24" t="inlineStr">
        <is>
          <t>mA</t>
        </is>
      </c>
    </row>
    <row r="47" ht="15" customFormat="1" customHeight="1" s="79" thickBot="1">
      <c r="A47" s="126" t="n"/>
      <c r="B47" s="126" t="n"/>
      <c r="C47" s="126" t="n"/>
      <c r="D47" s="126" t="n"/>
      <c r="E47" s="126" t="n"/>
      <c r="F47" s="127" t="n"/>
      <c r="G47" s="98" t="n"/>
      <c r="H47" s="97" t="n"/>
    </row>
    <row r="48" ht="48" customHeight="1" thickBot="1">
      <c r="A48" s="63" t="inlineStr">
        <is>
          <t>External Power Source 1</t>
        </is>
      </c>
      <c r="B48" s="64" t="inlineStr">
        <is>
          <t>Component Name</t>
        </is>
      </c>
      <c r="C48" s="64" t="inlineStr">
        <is>
          <t>Part Number</t>
        </is>
      </c>
      <c r="D48" s="65" t="inlineStr">
        <is>
          <t>Supply
Voltage
Range</t>
        </is>
      </c>
      <c r="E48" s="65" t="inlineStr">
        <is>
          <t>Output Voltage</t>
        </is>
      </c>
      <c r="F48" s="65" t="inlineStr">
        <is>
          <t>Absolute
Maximum
Current (mA)</t>
        </is>
      </c>
      <c r="G48" s="65" t="inlineStr">
        <is>
          <t>Total
Current
(mA)</t>
        </is>
      </c>
      <c r="H48" s="66" t="inlineStr">
        <is>
          <t>Unit</t>
        </is>
      </c>
    </row>
    <row r="49" ht="15" customHeight="1">
      <c r="A49" s="67" t="inlineStr">
        <is>
          <t>Power Source 1 Selection</t>
        </is>
      </c>
      <c r="B49" s="61" t="inlineStr">
        <is>
          <t>9 V DC wall adapter</t>
        </is>
      </c>
      <c r="C49" s="24" t="inlineStr">
        <is>
          <t>Barrel plug to fit J1 (PJ-063AH)</t>
        </is>
      </c>
      <c r="D49" s="24" t="inlineStr">
        <is>
          <t xml:space="preserve"> 100 - 240V AC</t>
        </is>
      </c>
      <c r="E49" s="24" t="inlineStr">
        <is>
          <t>9V DC</t>
        </is>
      </c>
      <c r="F49" s="24" t="n">
        <v>1000</v>
      </c>
      <c r="G49" s="24">
        <f>F49</f>
        <v/>
      </c>
      <c r="H49" s="68" t="inlineStr">
        <is>
          <t>mA</t>
        </is>
      </c>
    </row>
    <row r="50" ht="15" customHeight="1">
      <c r="A50" s="69" t="n"/>
      <c r="B50" s="54" t="n"/>
      <c r="C50" s="54" t="n"/>
      <c r="D50" s="21" t="n"/>
      <c r="E50" s="21" t="n"/>
      <c r="F50" s="21" t="n"/>
      <c r="G50" s="21" t="n"/>
      <c r="H50" s="43" t="n"/>
    </row>
    <row r="51" ht="15" customHeight="1">
      <c r="A51" s="70" t="inlineStr">
        <is>
          <t>Power Rails Connected to External Power Source 1</t>
        </is>
      </c>
      <c r="B51" s="54" t="inlineStr">
        <is>
          <t>+5V rail (LM2940CT-5.0 input)</t>
        </is>
      </c>
      <c r="C51" s="54" t="inlineStr">
        <is>
          <t>LM2940CT-5.0</t>
        </is>
      </c>
      <c r="D51" s="21" t="inlineStr">
        <is>
          <t xml:space="preserve"> +6V - 26V</t>
        </is>
      </c>
      <c r="E51" s="21" t="n">
        <v>1</v>
      </c>
      <c r="F51" s="21">
        <f>G33</f>
        <v/>
      </c>
      <c r="G51" s="21">
        <f>E51*F51</f>
        <v/>
      </c>
      <c r="H51" s="43" t="inlineStr">
        <is>
          <t>mA</t>
        </is>
      </c>
    </row>
    <row r="52" ht="15" customHeight="1">
      <c r="A52" s="144" t="n"/>
      <c r="B52" s="54" t="n"/>
      <c r="C52" s="54" t="n"/>
      <c r="D52" s="21" t="n"/>
      <c r="E52" s="21" t="n"/>
      <c r="F52" s="21" t="n"/>
      <c r="G52" s="21" t="n"/>
      <c r="H52" s="43" t="n"/>
    </row>
    <row r="53" ht="32.25" customHeight="1" thickBot="1">
      <c r="A53" s="145" t="n"/>
      <c r="B53" s="128" t="n"/>
      <c r="C53" s="129" t="n"/>
      <c r="D53" s="130" t="n"/>
      <c r="E53" s="130" t="n"/>
      <c r="F53" s="130" t="n"/>
      <c r="G53" s="130" t="n"/>
      <c r="H53" s="131" t="n"/>
    </row>
    <row r="54" ht="15" customHeight="1" thickBot="1" thickTop="1">
      <c r="A54" s="146" t="inlineStr">
        <is>
          <t>Total Remaining Current Available on External Power Source 1</t>
        </is>
      </c>
      <c r="B54" s="147" t="n"/>
      <c r="C54" s="147" t="n"/>
      <c r="D54" s="147" t="n"/>
      <c r="E54" s="147" t="n"/>
      <c r="F54" s="148" t="n"/>
      <c r="G54" s="77">
        <f>G49-SUM(G51:G53)</f>
        <v/>
      </c>
      <c r="H54" s="78" t="inlineStr">
        <is>
          <t>mA</t>
        </is>
      </c>
    </row>
    <row r="55" ht="15" customHeight="1" thickBot="1">
      <c r="A55" s="11" t="n"/>
      <c r="B55" s="30" t="n"/>
      <c r="C55" s="30" t="n"/>
      <c r="D55" s="30" t="n"/>
      <c r="E55" s="30" t="n"/>
      <c r="F55" s="30" t="n"/>
      <c r="G55" s="99" t="n"/>
      <c r="H55" s="99" t="n"/>
      <c r="I55" s="79" t="n"/>
    </row>
    <row r="56" ht="48" customHeight="1" thickBot="1">
      <c r="A56" s="63" t="inlineStr">
        <is>
          <t>External Power Source 2 (unused)</t>
        </is>
      </c>
      <c r="B56" s="64" t="inlineStr">
        <is>
          <t>Component Name</t>
        </is>
      </c>
      <c r="C56" s="64" t="inlineStr">
        <is>
          <t>Part Number</t>
        </is>
      </c>
      <c r="D56" s="65" t="inlineStr">
        <is>
          <t>Supply
Voltage
Range</t>
        </is>
      </c>
      <c r="E56" s="65" t="inlineStr">
        <is>
          <t>Output Voltage</t>
        </is>
      </c>
      <c r="F56" s="65" t="inlineStr">
        <is>
          <t>Absolute
Maximum
Current (mA)</t>
        </is>
      </c>
      <c r="G56" s="65" t="inlineStr">
        <is>
          <t>Total
Current
(mA)</t>
        </is>
      </c>
      <c r="H56" s="66" t="inlineStr">
        <is>
          <t>Unit</t>
        </is>
      </c>
    </row>
    <row r="57" ht="15" customHeight="1">
      <c r="A57" s="67" t="inlineStr">
        <is>
          <t>Power Source 2 Selection</t>
        </is>
      </c>
      <c r="B57" s="61" t="inlineStr">
        <is>
          <t>None</t>
        </is>
      </c>
      <c r="C57" s="24" t="inlineStr">
        <is>
          <t>N/A</t>
        </is>
      </c>
      <c r="D57" s="24" t="inlineStr">
        <is>
          <t>N/A</t>
        </is>
      </c>
      <c r="E57" s="24" t="inlineStr">
        <is>
          <t>N/A</t>
        </is>
      </c>
      <c r="F57" s="24" t="n">
        <v>0</v>
      </c>
      <c r="G57" s="24" t="n">
        <v>0</v>
      </c>
      <c r="H57" s="68" t="inlineStr">
        <is>
          <t>mA</t>
        </is>
      </c>
      <c r="J57" s="79" t="n"/>
    </row>
    <row r="58" ht="15" customHeight="1">
      <c r="A58" s="69" t="n"/>
      <c r="B58" s="54" t="n"/>
      <c r="C58" s="54" t="n"/>
      <c r="D58" s="21" t="n"/>
      <c r="E58" s="21" t="n"/>
      <c r="F58" s="21" t="n"/>
      <c r="G58" s="21" t="n"/>
      <c r="H58" s="43" t="n"/>
    </row>
    <row r="59" ht="15" customHeight="1">
      <c r="A59" s="70" t="inlineStr">
        <is>
          <t>Power Rails Connected to External Power Source 2</t>
        </is>
      </c>
      <c r="B59" s="54" t="inlineStr">
        <is>
          <t>None</t>
        </is>
      </c>
      <c r="C59" s="54" t="inlineStr">
        <is>
          <t>N/A</t>
        </is>
      </c>
      <c r="D59" s="21" t="inlineStr">
        <is>
          <t>N/A</t>
        </is>
      </c>
      <c r="E59" s="21" t="n">
        <v>0</v>
      </c>
      <c r="F59" s="21" t="n">
        <v>0</v>
      </c>
      <c r="G59" s="21">
        <f>E59*F59</f>
        <v/>
      </c>
      <c r="H59" s="43" t="inlineStr">
        <is>
          <t>mA</t>
        </is>
      </c>
    </row>
    <row r="60" ht="15" customHeight="1">
      <c r="A60" s="144" t="n"/>
      <c r="B60" s="54" t="n"/>
      <c r="C60" s="54" t="n"/>
      <c r="D60" s="21" t="n"/>
      <c r="E60" s="21" t="n"/>
      <c r="F60" s="21" t="n"/>
      <c r="G60" s="21" t="n"/>
      <c r="H60" s="43" t="n"/>
    </row>
    <row r="61" ht="15" customHeight="1" thickBot="1">
      <c r="A61" s="145" t="n"/>
      <c r="B61" s="46" t="n"/>
      <c r="C61" s="46" t="n"/>
      <c r="D61" s="47" t="n"/>
      <c r="E61" s="47" t="n"/>
      <c r="F61" s="47" t="n"/>
      <c r="G61" s="47" t="n"/>
      <c r="H61" s="73" t="n"/>
    </row>
    <row r="62" ht="15" customHeight="1" thickBot="1" thickTop="1">
      <c r="A62" s="100" t="n"/>
      <c r="B62" s="101" t="inlineStr">
        <is>
          <t>Total Remaining Current Available on External Power Source 2</t>
        </is>
      </c>
      <c r="C62" s="149" t="n"/>
      <c r="D62" s="149" t="n"/>
      <c r="E62" s="149" t="n"/>
      <c r="F62" s="150" t="n"/>
      <c r="G62" s="77">
        <f>G57-SUM(G59:G61)</f>
        <v/>
      </c>
      <c r="H62" s="78" t="inlineStr">
        <is>
          <t>mA</t>
        </is>
      </c>
    </row>
    <row r="63" ht="15" customHeight="1" thickBot="1">
      <c r="A63" s="8" t="n"/>
      <c r="B63" s="79" t="n"/>
      <c r="C63" s="79" t="n"/>
      <c r="D63" s="16" t="n"/>
      <c r="E63" s="51" t="n"/>
      <c r="F63" s="51" t="n"/>
      <c r="G63" s="51" t="n"/>
      <c r="H63" s="51" t="n"/>
    </row>
    <row r="64" ht="15" customHeight="1">
      <c r="A64" s="112" t="inlineStr">
        <is>
          <t>Calculated Battery Life</t>
        </is>
      </c>
      <c r="B64" s="151" t="n"/>
      <c r="C64" s="151" t="n"/>
      <c r="D64" s="151" t="n"/>
      <c r="E64" s="151" t="n"/>
      <c r="F64" s="152" t="n"/>
      <c r="G64" s="114" t="n"/>
      <c r="H64" s="115" t="n"/>
      <c r="I64" s="79" t="n"/>
    </row>
    <row r="65" ht="47.25" customHeight="1">
      <c r="A65" s="123" t="n"/>
      <c r="B65" s="124" t="inlineStr">
        <is>
          <t>Component Name</t>
        </is>
      </c>
      <c r="C65" s="124" t="inlineStr">
        <is>
          <t>Part Number</t>
        </is>
      </c>
      <c r="D65" s="41" t="inlineStr">
        <is>
          <t>Supply
Voltage
Range</t>
        </is>
      </c>
      <c r="E65" s="40" t="n"/>
      <c r="F65" s="41" t="inlineStr">
        <is>
          <t>Capacity
(mAh)</t>
        </is>
      </c>
      <c r="G65" s="41" t="inlineStr">
        <is>
          <t>Required
By
Regulators</t>
        </is>
      </c>
      <c r="H65" s="125" t="n"/>
    </row>
    <row r="66" ht="15" customHeight="1" thickBot="1">
      <c r="A66" s="116" t="n"/>
      <c r="B66" s="46" t="inlineStr">
        <is>
          <t>3S Li-ion pack (3 x 18650 cells, example)</t>
        </is>
      </c>
      <c r="C66" s="46" t="inlineStr">
        <is>
          <t>3S1P 18650, 2600 mAh cells</t>
        </is>
      </c>
      <c r="D66" s="47" t="inlineStr">
        <is>
          <t xml:space="preserve"> +9.0 - 12.6V</t>
        </is>
      </c>
      <c r="E66" s="47" t="n"/>
      <c r="F66" s="47" t="n">
        <v>2600</v>
      </c>
      <c r="G66" s="47">
        <f>G33</f>
        <v/>
      </c>
      <c r="H66" s="73" t="n"/>
    </row>
    <row r="67" ht="15" customHeight="1" thickBot="1" thickTop="1">
      <c r="A67" s="117" t="n"/>
      <c r="B67" s="118" t="n"/>
      <c r="C67" s="118" t="n"/>
      <c r="D67" s="119" t="n"/>
      <c r="E67" s="119" t="n"/>
      <c r="F67" s="120" t="inlineStr">
        <is>
          <t>Battery Life</t>
        </is>
      </c>
      <c r="G67" s="159">
        <f>F66/G66</f>
        <v/>
      </c>
      <c r="H67" s="122" t="inlineStr">
        <is>
          <t>hours</t>
        </is>
      </c>
    </row>
    <row r="68" ht="15" customHeight="1" thickBot="1">
      <c r="A68" s="79" t="n"/>
      <c r="D68" s="6" t="n"/>
      <c r="E68" s="6" t="n"/>
      <c r="F68" s="39" t="n"/>
      <c r="G68" s="51" t="n"/>
      <c r="H68" s="51" t="n"/>
    </row>
    <row r="69" ht="15" customHeight="1">
      <c r="A69" s="103" t="inlineStr">
        <is>
          <t>Notes:</t>
        </is>
      </c>
      <c r="B69" s="153" t="n"/>
      <c r="C69" s="153" t="n"/>
      <c r="D69" s="153" t="n"/>
      <c r="E69" s="153" t="n"/>
      <c r="F69" s="153" t="n"/>
      <c r="G69" s="105" t="n"/>
      <c r="H69" s="106" t="n"/>
    </row>
    <row r="70" ht="48" customHeight="1">
      <c r="A70" s="154" t="inlineStr">
        <is>
          <t>Bench and testing use the 9 V DC adapter on J1 (9-12 V OK). The input current is about the same as the +5 V load because the LM2940 is a linear regulator. Battery life uses an example 3S Li-ion pack; the final robot battery is chosen as a group.</t>
        </is>
      </c>
      <c r="H70" s="155" t="n"/>
    </row>
    <row r="71" ht="48" customHeight="1" thickBot="1">
      <c r="A71" s="156" t="inlineStr">
        <is>
          <t>A linear regulator wastes (Vin - 5 V) x I as heat: about 2.0 W at 9 V in and about 3.8 W at 12.6 V (full 3S pack), so U2 needs a TO-220 heatsink.</t>
        </is>
      </c>
      <c r="B71" s="147" t="n"/>
      <c r="C71" s="147" t="n"/>
      <c r="D71" s="147" t="n"/>
      <c r="E71" s="147" t="n"/>
      <c r="F71" s="147" t="n"/>
      <c r="G71" s="147" t="n"/>
      <c r="H71" s="157" t="n"/>
    </row>
    <row r="72" ht="48" customHeight="1">
      <c r="A72" s="158" t="inlineStr">
        <is>
          <t>Curiosity Nano current (100 mA) is a conservative allowance for the PIC18F57Q43 at 64 MHz plus the on-board nEDBG debugger; D500 current (290 mA) is the rated working current (measured 247 mA on the bench). LEDs are about 4 mA each.</t>
        </is>
      </c>
    </row>
  </sheetData>
  <mergeCells count="23">
    <mergeCell ref="A54:F54"/>
    <mergeCell ref="B62:F62"/>
    <mergeCell ref="D41:F41"/>
    <mergeCell ref="D32:F32"/>
    <mergeCell ref="B25:F25"/>
    <mergeCell ref="B46:F46"/>
    <mergeCell ref="A1:H1"/>
    <mergeCell ref="D43:F43"/>
    <mergeCell ref="A70:H70"/>
    <mergeCell ref="A59:A61"/>
    <mergeCell ref="A7:H7"/>
    <mergeCell ref="D33:F33"/>
    <mergeCell ref="D42:F42"/>
    <mergeCell ref="A51:A53"/>
    <mergeCell ref="A71:H71"/>
    <mergeCell ref="D20:F20"/>
    <mergeCell ref="A64:F64"/>
    <mergeCell ref="D31:F31"/>
    <mergeCell ref="A72:H72"/>
    <mergeCell ref="D22:F22"/>
    <mergeCell ref="B36:F36"/>
    <mergeCell ref="D21:F21"/>
    <mergeCell ref="A69:F69"/>
  </mergeCells>
  <conditionalFormatting sqref="G25:G26 G36:G37 G46">
    <cfRule type="cellIs" priority="1" operator="lessThan" dxfId="0">
      <formula>0</formula>
    </cfRule>
  </conditionalFormatting>
  <printOptions horizontalCentered="1"/>
  <pageMargins left="0.25" right="0" top="0.5" bottom="0.5" header="0.3" footer="0.3"/>
  <pageSetup orientation="landscape" fitToHeight="0" fitToWidth="1"/>
  <rowBreaks count="2" manualBreakCount="2">
    <brk id="25" min="0" max="7" man="1"/>
    <brk id="46" min="0" max="7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2026-10-19T17:27:20Z</dcterms:created>
  <dcterms:modified xsi:type="dcterms:W3CDTF">2026-10-29T05:14:36Z</dcterms:modified>
  <cp:lastModifiedBy>Kevin Nichols</cp:lastModifiedBy>
  <cp:lastPrinted>2025-08-22T22:55:28Z</cp:lastPrinted>
</cp:coreProperties>
</file>