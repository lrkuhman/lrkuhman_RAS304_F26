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E6E4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microchip-technology/DM164150/11586705" TargetMode="External" Id="rId1" /><Relationship Type="http://schemas.openxmlformats.org/officeDocument/2006/relationships/hyperlink" Target="https://www.microchip.com/en-us/development-tool/DM164150" TargetMode="External" Id="rId2" /><Relationship Type="http://schemas.openxmlformats.org/officeDocument/2006/relationships/hyperlink" Target="https://www.amazon.com/dp/B0GSTXW158" TargetMode="External" Id="rId3" /><Relationship Type="http://schemas.openxmlformats.org/officeDocument/2006/relationships/hyperlink" Target="https://www.waveshare.com/wiki/D500_LiDAR_Kit" TargetMode="External" Id="rId4" /><Relationship Type="http://schemas.openxmlformats.org/officeDocument/2006/relationships/hyperlink" Target="https://www.digikey.com/en/products/detail/texas-instruments/LM2940CT-5-0-NOPB/32575" TargetMode="External" Id="rId5" /><Relationship Type="http://schemas.openxmlformats.org/officeDocument/2006/relationships/hyperlink" Target="https://www.ti.com/lit/ds/symlink/lm2940-n.pdf" TargetMode="External" Id="rId6" /><Relationship Type="http://schemas.openxmlformats.org/officeDocument/2006/relationships/hyperlink" Target="https://www.digikey.com/en/products/detail/boyd-laconia-llc/507002B00000G/5846" TargetMode="External" Id="rId7" /><Relationship Type="http://schemas.openxmlformats.org/officeDocument/2006/relationships/hyperlink" Target="https://info.boydcorp.com/hubfs/Thermal/Air-Cooling/Boyd-Board-Level-Heatsinks-Catalog.pdf" TargetMode="External" Id="rId8" /><Relationship Type="http://schemas.openxmlformats.org/officeDocument/2006/relationships/hyperlink" Target="https://www.digikey.com/en/products/detail/cui-devices/PJ-063AH/2161208" TargetMode="External" Id="rId9" /><Relationship Type="http://schemas.openxmlformats.org/officeDocument/2006/relationships/hyperlink" Target="https://www.sameskydevices.com/product/resource/pj-063ah.pdf" TargetMode="External" Id="rId10" /><Relationship Type="http://schemas.openxmlformats.org/officeDocument/2006/relationships/hyperlink" Target="https://www.digikey.com/en/products/detail/eaton-electronics-division/GMC-750-R/1877496" TargetMode="External" Id="rId11" /><Relationship Type="http://schemas.openxmlformats.org/officeDocument/2006/relationships/hyperlink" Target="https://www.mouser.com/datasheet/2/87/eaton%20corporation_bus-elx-ds-4395-gmc-1160696.pdf" TargetMode="External" Id="rId12" /><Relationship Type="http://schemas.openxmlformats.org/officeDocument/2006/relationships/hyperlink" Target="https://www.taydaelectronics.com/fuse-holder-with-cover-5x20mm-blx-a-pcb-6-3a-250v.html" TargetMode="External" Id="rId13" /><Relationship Type="http://schemas.openxmlformats.org/officeDocument/2006/relationships/hyperlink" Target="https://www.lcsc.com/product-detail/C3131.html" TargetMode="External" Id="rId14" /><Relationship Type="http://schemas.openxmlformats.org/officeDocument/2006/relationships/hyperlink" Target="https://www.digikey.com/en/products/detail/onsemi/SS14/965474" TargetMode="External" Id="rId15" /><Relationship Type="http://schemas.openxmlformats.org/officeDocument/2006/relationships/hyperlink" Target="https://www.onsemi.com/pdf/datasheet/ss14-d.pdf" TargetMode="External" Id="rId16" /><Relationship Type="http://schemas.openxmlformats.org/officeDocument/2006/relationships/hyperlink" Target="https://www.digikey.com/en/products/result?keywords=B4B-PH-K-S(LF)(SN)" TargetMode="External" Id="rId17" /><Relationship Type="http://schemas.openxmlformats.org/officeDocument/2006/relationships/hyperlink" Target="https://www.jst-mfg.com/product/pdf/eng/ePH.pdf" TargetMode="External" Id="rId18" /><Relationship Type="http://schemas.openxmlformats.org/officeDocument/2006/relationships/hyperlink" Target="https://www.digikey.com/en/products/result?keywords=B3F-1000" TargetMode="External" Id="rId19" /><Relationship Type="http://schemas.openxmlformats.org/officeDocument/2006/relationships/hyperlink" Target="https://omronfs.omron.com/en_US/ecb/products/pdf/en-b3f.pdf" TargetMode="External" Id="rId20" /><Relationship Type="http://schemas.openxmlformats.org/officeDocument/2006/relationships/hyperlink" Target="https://www.digikey.com/en/products/result?keywords=61200821621" TargetMode="External" Id="rId21" /><Relationship Type="http://schemas.openxmlformats.org/officeDocument/2006/relationships/hyperlink" Target="https://www.we-online.com/components/products/datasheet/61200821621.pdf" TargetMode="External" Id="rId22" /><Relationship Type="http://schemas.openxmlformats.org/officeDocument/2006/relationships/hyperlink" Target="https://www.digikey.com/en/products/result?keywords=61301011121" TargetMode="External" Id="rId23" /><Relationship Type="http://schemas.openxmlformats.org/officeDocument/2006/relationships/hyperlink" Target="https://www.we-online.com/components/products/datasheet/61301011121.pdf" TargetMode="External" Id="rId24" /><Relationship Type="http://schemas.openxmlformats.org/officeDocument/2006/relationships/hyperlink" Target="https://www.digikey.com/en/products/result?keywords=61300211121" TargetMode="External" Id="rId25" /><Relationship Type="http://schemas.openxmlformats.org/officeDocument/2006/relationships/hyperlink" Target="https://www.we-online.com/components/products/datasheet/61300211121.pdf" TargetMode="External" Id="rId26" /><Relationship Type="http://schemas.openxmlformats.org/officeDocument/2006/relationships/hyperlink" Target="https://www.digikey.com/en/products/result?keywords=60900213421" TargetMode="External" Id="rId27" /><Relationship Type="http://schemas.openxmlformats.org/officeDocument/2006/relationships/hyperlink" Target="https://www.we-online.com/components/products/datasheet/60900213421.pdf" TargetMode="External" Id="rId28" /><Relationship Type="http://schemas.openxmlformats.org/officeDocument/2006/relationships/hyperlink" Target="https://www.digikey.com/en/products/result?keywords=EEU-FR1E101" TargetMode="External" Id="rId29" /><Relationship Type="http://schemas.openxmlformats.org/officeDocument/2006/relationships/hyperlink" Target="https://industrial.panasonic.com/cdbs/www-data/pdf/RDF0000/ABA0000C1209.pdf" TargetMode="External" Id="rId30" /><Relationship Type="http://schemas.openxmlformats.org/officeDocument/2006/relationships/hyperlink" Target="https://www.digikey.com/en/products/result?keywords=EEU-FR1C220" TargetMode="External" Id="rId31" /><Relationship Type="http://schemas.openxmlformats.org/officeDocument/2006/relationships/hyperlink" Target="https://industrial.panasonic.com/cdbs/www-data/pdf/RDF0000/ABA0000C1209.pdf" TargetMode="External" Id="rId32" /><Relationship Type="http://schemas.openxmlformats.org/officeDocument/2006/relationships/hyperlink" Target="https://www.amazon.com/dp/B0DZXQPFHP" TargetMode="External" Id="rId33" /><Relationship Type="http://schemas.openxmlformats.org/officeDocument/2006/relationships/hyperlink" Target="https://www.amazon.com/dp/B0DZXQPFHP" TargetMode="External" Id="rId34" /><Relationship Type="http://schemas.openxmlformats.org/officeDocument/2006/relationships/hyperlink" Target="https://www.seielect.com/catalog/sei-rmcf_rmcp.pdf" TargetMode="External" Id="rId35" /><Relationship Type="http://schemas.openxmlformats.org/officeDocument/2006/relationships/hyperlink" Target="https://www.amazon.com/dp/B0DZXQPFHP" TargetMode="External" Id="rId36" /><Relationship Type="http://schemas.openxmlformats.org/officeDocument/2006/relationships/hyperlink" Target="https://product.samsungsem.com/mlcc/CL21A106KOQNNN.do" TargetMode="External" Id="rId37" /><Relationship Type="http://schemas.openxmlformats.org/officeDocument/2006/relationships/hyperlink" Target="https://www.amazon.com/dp/B0DZXQPFHP" TargetMode="External" Id="rId38" /><Relationship Type="http://schemas.openxmlformats.org/officeDocument/2006/relationships/hyperlink" Target="https://product.samsungsem.com/mlcc/CL21B105KOFNNN.do" TargetMode="External" Id="rId39" /><Relationship Type="http://schemas.openxmlformats.org/officeDocument/2006/relationships/hyperlink" Target="https://www.amazon.com/dp/B0DZXQPFHP" TargetMode="External" Id="rId40" /><Relationship Type="http://schemas.openxmlformats.org/officeDocument/2006/relationships/hyperlink" Target="https://product.samsungsem.com/mlcc/CL21B474KBFNNN.do" TargetMode="External" Id="rId41" /><Relationship Type="http://schemas.openxmlformats.org/officeDocument/2006/relationships/hyperlink" Target="https://www.amazon.com/dp/B0DZXQPFHP" TargetMode="External" Id="rId42" /><Relationship Type="http://schemas.openxmlformats.org/officeDocument/2006/relationships/hyperlink" Target="https://product.samsungsem.com/mlcc/CL21B104KBCNNN.do" TargetMode="External" Id="rId43" /><Relationship Type="http://schemas.openxmlformats.org/officeDocument/2006/relationships/hyperlink" Target="https://www.amazon.com/dp/B0DZXQPFHP" TargetMode="External" Id="rId44" /><Relationship Type="http://schemas.openxmlformats.org/officeDocument/2006/relationships/hyperlink" Target="https://www.we-online.com/components/products/datasheet/150080GS75000.pdf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" customWidth="1" min="3" max="3"/>
    <col width="11" customWidth="1" min="4" max="4"/>
    <col width="11" customWidth="1" min="5" max="5"/>
    <col width="10" customWidth="1" min="6" max="6"/>
    <col width="15" customWidth="1" min="7" max="7"/>
    <col width="15" customWidth="1" min="8" max="8"/>
  </cols>
  <sheetData>
    <row r="1">
      <c r="A1" s="1" t="inlineStr">
        <is>
          <t>Bill of Materials - LiDAR Subsystem (Landon Kuhman, Team 101)</t>
        </is>
      </c>
    </row>
    <row r="2">
      <c r="A2" s="2" t="inlineStr">
        <is>
          <t>Component</t>
        </is>
      </c>
      <c r="B2" s="2" t="inlineStr">
        <is>
          <t>Ref. Des.</t>
        </is>
      </c>
      <c r="C2" s="2" t="inlineStr">
        <is>
          <t>Qty</t>
        </is>
      </c>
      <c r="D2" s="2" t="inlineStr">
        <is>
          <t>Unit Cost</t>
        </is>
      </c>
      <c r="E2" s="2" t="inlineStr">
        <is>
          <t>Total Cost</t>
        </is>
      </c>
      <c r="F2" s="2" t="inlineStr">
        <is>
          <t>Vendor</t>
        </is>
      </c>
      <c r="G2" s="2" t="inlineStr">
        <is>
          <t>Purchase Link</t>
        </is>
      </c>
      <c r="H2" s="2" t="inlineStr">
        <is>
          <t>Datasheet</t>
        </is>
      </c>
    </row>
    <row r="3">
      <c r="A3" s="3" t="inlineStr">
        <is>
          <t>PIC18F57Q43 Curiosity Nano (DM164150)</t>
        </is>
      </c>
      <c r="B3" s="3" t="inlineStr">
        <is>
          <t>U1</t>
        </is>
      </c>
      <c r="C3" s="3" t="n">
        <v>1</v>
      </c>
      <c r="D3" s="4" t="n">
        <v>10.95</v>
      </c>
      <c r="E3" s="4">
        <f>C3*D3</f>
        <v/>
      </c>
      <c r="F3" s="3" t="inlineStr">
        <is>
          <t>DigiKey</t>
        </is>
      </c>
      <c r="G3" s="5" t="inlineStr">
        <is>
          <t>View Product</t>
        </is>
      </c>
      <c r="H3" s="5" t="inlineStr">
        <is>
          <t>View Datasheet</t>
        </is>
      </c>
    </row>
    <row r="4">
      <c r="A4" s="3" t="inlineStr">
        <is>
          <t>Waveshare D500 360° LiDAR Kit</t>
        </is>
      </c>
      <c r="B4" s="3" t="inlineStr">
        <is>
          <t>J2</t>
        </is>
      </c>
      <c r="C4" s="3" t="n">
        <v>1</v>
      </c>
      <c r="D4" s="4" t="n">
        <v>50</v>
      </c>
      <c r="E4" s="4">
        <f>C4*D4</f>
        <v/>
      </c>
      <c r="F4" s="3" t="inlineStr">
        <is>
          <t>Amazon</t>
        </is>
      </c>
      <c r="G4" s="5" t="inlineStr">
        <is>
          <t>View Product</t>
        </is>
      </c>
      <c r="H4" s="5" t="inlineStr">
        <is>
          <t>View Datasheet</t>
        </is>
      </c>
    </row>
    <row r="5">
      <c r="A5" s="3" t="inlineStr">
        <is>
          <t>TI LM2940CT-5.0 5 V Regulator</t>
        </is>
      </c>
      <c r="B5" s="3" t="inlineStr">
        <is>
          <t>U2</t>
        </is>
      </c>
      <c r="C5" s="3" t="n">
        <v>1</v>
      </c>
      <c r="D5" s="4" t="n">
        <v>1.94</v>
      </c>
      <c r="E5" s="4">
        <f>C5*D5</f>
        <v/>
      </c>
      <c r="F5" s="3" t="inlineStr">
        <is>
          <t>DigiKey</t>
        </is>
      </c>
      <c r="G5" s="5" t="inlineStr">
        <is>
          <t>View Product</t>
        </is>
      </c>
      <c r="H5" s="5" t="inlineStr">
        <is>
          <t>View Datasheet</t>
        </is>
      </c>
    </row>
    <row r="6">
      <c r="A6" s="3" t="inlineStr">
        <is>
          <t>Aavid 507002B00000G TO-220 Heatsink</t>
        </is>
      </c>
      <c r="B6" s="3" t="inlineStr">
        <is>
          <t>U2</t>
        </is>
      </c>
      <c r="C6" s="3" t="n">
        <v>1</v>
      </c>
      <c r="D6" s="4" t="n">
        <v>0.7</v>
      </c>
      <c r="E6" s="4">
        <f>C6*D6</f>
        <v/>
      </c>
      <c r="F6" s="3" t="inlineStr">
        <is>
          <t>DigiKey</t>
        </is>
      </c>
      <c r="G6" s="5" t="inlineStr">
        <is>
          <t>View Product</t>
        </is>
      </c>
      <c r="H6" s="5" t="inlineStr">
        <is>
          <t>View Datasheet</t>
        </is>
      </c>
    </row>
    <row r="7">
      <c r="A7" s="3" t="inlineStr">
        <is>
          <t>CUI PJ-063AH Barrel Jack</t>
        </is>
      </c>
      <c r="B7" s="3" t="inlineStr">
        <is>
          <t>J1</t>
        </is>
      </c>
      <c r="C7" s="3" t="n">
        <v>1</v>
      </c>
      <c r="D7" s="4" t="n">
        <v>1.5</v>
      </c>
      <c r="E7" s="4">
        <f>C7*D7</f>
        <v/>
      </c>
      <c r="F7" s="3" t="inlineStr">
        <is>
          <t>DigiKey</t>
        </is>
      </c>
      <c r="G7" s="5" t="inlineStr">
        <is>
          <t>View Product</t>
        </is>
      </c>
      <c r="H7" s="5" t="inlineStr">
        <is>
          <t>View Datasheet</t>
        </is>
      </c>
    </row>
    <row r="8">
      <c r="A8" s="3" t="inlineStr">
        <is>
          <t>Eaton GMC-750-R 750 mA Slow-Blow Fuse, 5 × 20 mm</t>
        </is>
      </c>
      <c r="B8" s="3" t="inlineStr">
        <is>
          <t>F1</t>
        </is>
      </c>
      <c r="C8" s="3" t="n">
        <v>1</v>
      </c>
      <c r="D8" s="4" t="n">
        <v>0.7</v>
      </c>
      <c r="E8" s="4">
        <f>C8*D8</f>
        <v/>
      </c>
      <c r="F8" s="3" t="inlineStr">
        <is>
          <t>DigiKey</t>
        </is>
      </c>
      <c r="G8" s="5" t="inlineStr">
        <is>
          <t>View Product</t>
        </is>
      </c>
      <c r="H8" s="5" t="inlineStr">
        <is>
          <t>View Datasheet</t>
        </is>
      </c>
    </row>
    <row r="9">
      <c r="A9" s="3" t="inlineStr">
        <is>
          <t>BLX-A Fuse Holder with Cover, 5 × 20 mm (already have, from kit)</t>
        </is>
      </c>
      <c r="B9" s="3" t="inlineStr">
        <is>
          <t>F1</t>
        </is>
      </c>
      <c r="C9" s="3" t="n">
        <v>1</v>
      </c>
      <c r="D9" s="4" t="n">
        <v>0</v>
      </c>
      <c r="E9" s="4">
        <f>C9*D9</f>
        <v/>
      </c>
      <c r="F9" s="3" t="inlineStr">
        <is>
          <t>Have</t>
        </is>
      </c>
      <c r="G9" s="5" t="inlineStr">
        <is>
          <t>View Product</t>
        </is>
      </c>
      <c r="H9" s="5" t="inlineStr">
        <is>
          <t>View Datasheet</t>
        </is>
      </c>
    </row>
    <row r="10">
      <c r="A10" s="3" t="inlineStr">
        <is>
          <t>onsemi SS14 Schottky Diode</t>
        </is>
      </c>
      <c r="B10" s="3" t="inlineStr">
        <is>
          <t>D2</t>
        </is>
      </c>
      <c r="C10" s="3" t="n">
        <v>1</v>
      </c>
      <c r="D10" s="4" t="n">
        <v>0.5</v>
      </c>
      <c r="E10" s="4">
        <f>C10*D10</f>
        <v/>
      </c>
      <c r="F10" s="3" t="inlineStr">
        <is>
          <t>DigiKey</t>
        </is>
      </c>
      <c r="G10" s="5" t="inlineStr">
        <is>
          <t>View Product</t>
        </is>
      </c>
      <c r="H10" s="5" t="inlineStr">
        <is>
          <t>View Datasheet</t>
        </is>
      </c>
    </row>
    <row r="11">
      <c r="A11" s="3" t="inlineStr">
        <is>
          <t>JST B4B-PH-K-S 4-Pin Header</t>
        </is>
      </c>
      <c r="B11" s="3" t="inlineStr">
        <is>
          <t>J2</t>
        </is>
      </c>
      <c r="C11" s="3" t="n">
        <v>1</v>
      </c>
      <c r="D11" s="4" t="n">
        <v>0.2</v>
      </c>
      <c r="E11" s="4">
        <f>C11*D11</f>
        <v/>
      </c>
      <c r="F11" s="3" t="inlineStr">
        <is>
          <t>DigiKey</t>
        </is>
      </c>
      <c r="G11" s="5" t="inlineStr">
        <is>
          <t>View Product</t>
        </is>
      </c>
      <c r="H11" s="5" t="inlineStr">
        <is>
          <t>View Datasheet</t>
        </is>
      </c>
    </row>
    <row r="12">
      <c r="A12" s="3" t="inlineStr">
        <is>
          <t>Omron B3F-1000 Pushbutton</t>
        </is>
      </c>
      <c r="B12" s="3" t="inlineStr">
        <is>
          <t>SW1</t>
        </is>
      </c>
      <c r="C12" s="3" t="n">
        <v>1</v>
      </c>
      <c r="D12" s="4" t="n">
        <v>0.26</v>
      </c>
      <c r="E12" s="4">
        <f>C12*D12</f>
        <v/>
      </c>
      <c r="F12" s="3" t="inlineStr">
        <is>
          <t>DigiKey</t>
        </is>
      </c>
      <c r="G12" s="5" t="inlineStr">
        <is>
          <t>View Product</t>
        </is>
      </c>
      <c r="H12" s="5" t="inlineStr">
        <is>
          <t>View Datasheet</t>
        </is>
      </c>
    </row>
    <row r="13">
      <c r="A13" s="3" t="inlineStr">
        <is>
          <t>Würth 61200821621 Box Header, 2 × 4</t>
        </is>
      </c>
      <c r="B13" s="3" t="inlineStr">
        <is>
          <t>J3</t>
        </is>
      </c>
      <c r="C13" s="3" t="n">
        <v>1</v>
      </c>
      <c r="D13" s="4" t="n">
        <v>0.6</v>
      </c>
      <c r="E13" s="4">
        <f>C13*D13</f>
        <v/>
      </c>
      <c r="F13" s="3" t="inlineStr">
        <is>
          <t>DigiKey</t>
        </is>
      </c>
      <c r="G13" s="5" t="inlineStr">
        <is>
          <t>View Product</t>
        </is>
      </c>
      <c r="H13" s="5" t="inlineStr">
        <is>
          <t>View Datasheet</t>
        </is>
      </c>
    </row>
    <row r="14">
      <c r="A14" s="3" t="inlineStr">
        <is>
          <t>Würth 61301011121 Pin Header, 1 × 10</t>
        </is>
      </c>
      <c r="B14" s="3" t="inlineStr">
        <is>
          <t>J4, J5</t>
        </is>
      </c>
      <c r="C14" s="3" t="n">
        <v>2</v>
      </c>
      <c r="D14" s="4" t="n">
        <v>0.5</v>
      </c>
      <c r="E14" s="4">
        <f>C14*D14</f>
        <v/>
      </c>
      <c r="F14" s="3" t="inlineStr">
        <is>
          <t>DigiKey</t>
        </is>
      </c>
      <c r="G14" s="5" t="inlineStr">
        <is>
          <t>View Product</t>
        </is>
      </c>
      <c r="H14" s="5" t="inlineStr">
        <is>
          <t>View Datasheet</t>
        </is>
      </c>
    </row>
    <row r="15">
      <c r="A15" s="3" t="inlineStr">
        <is>
          <t>Würth 61300211121 Pin Header, 1 × 2</t>
        </is>
      </c>
      <c r="B15" s="3" t="inlineStr">
        <is>
          <t>JP1–JP5</t>
        </is>
      </c>
      <c r="C15" s="3" t="n">
        <v>5</v>
      </c>
      <c r="D15" s="4" t="n">
        <v>0.15</v>
      </c>
      <c r="E15" s="4">
        <f>C15*D15</f>
        <v/>
      </c>
      <c r="F15" s="3" t="inlineStr">
        <is>
          <t>DigiKey</t>
        </is>
      </c>
      <c r="G15" s="5" t="inlineStr">
        <is>
          <t>View Product</t>
        </is>
      </c>
      <c r="H15" s="5" t="inlineStr">
        <is>
          <t>View Datasheet</t>
        </is>
      </c>
    </row>
    <row r="16">
      <c r="A16" s="3" t="inlineStr">
        <is>
          <t>Würth 60900213421 Jumper Shunt</t>
        </is>
      </c>
      <c r="B16" s="3" t="inlineStr">
        <is>
          <t>JP1–JP5</t>
        </is>
      </c>
      <c r="C16" s="3" t="n">
        <v>5</v>
      </c>
      <c r="D16" s="4" t="n">
        <v>0.15</v>
      </c>
      <c r="E16" s="4">
        <f>C16*D16</f>
        <v/>
      </c>
      <c r="F16" s="3" t="inlineStr">
        <is>
          <t>DigiKey</t>
        </is>
      </c>
      <c r="G16" s="5" t="inlineStr">
        <is>
          <t>View Product</t>
        </is>
      </c>
      <c r="H16" s="5" t="inlineStr">
        <is>
          <t>View Datasheet</t>
        </is>
      </c>
    </row>
    <row r="17">
      <c r="A17" s="3" t="inlineStr">
        <is>
          <t>Panasonic EEU-FR1E101 100 µF 25 V Capacitor</t>
        </is>
      </c>
      <c r="B17" s="3" t="inlineStr">
        <is>
          <t>C1</t>
        </is>
      </c>
      <c r="C17" s="3" t="n">
        <v>1</v>
      </c>
      <c r="D17" s="4" t="n">
        <v>0.4</v>
      </c>
      <c r="E17" s="4">
        <f>C17*D17</f>
        <v/>
      </c>
      <c r="F17" s="3" t="inlineStr">
        <is>
          <t>DigiKey</t>
        </is>
      </c>
      <c r="G17" s="5" t="inlineStr">
        <is>
          <t>View Product</t>
        </is>
      </c>
      <c r="H17" s="5" t="inlineStr">
        <is>
          <t>View Datasheet</t>
        </is>
      </c>
    </row>
    <row r="18">
      <c r="A18" s="3" t="inlineStr">
        <is>
          <t>Panasonic EEU-FR1C220 22 µF 16 V Capacitor</t>
        </is>
      </c>
      <c r="B18" s="3" t="inlineStr">
        <is>
          <t>C3</t>
        </is>
      </c>
      <c r="C18" s="3" t="n">
        <v>1</v>
      </c>
      <c r="D18" s="4" t="n">
        <v>0.25</v>
      </c>
      <c r="E18" s="4">
        <f>C18*D18</f>
        <v/>
      </c>
      <c r="F18" s="3" t="inlineStr">
        <is>
          <t>DigiKey</t>
        </is>
      </c>
      <c r="G18" s="5" t="inlineStr">
        <is>
          <t>View Product</t>
        </is>
      </c>
      <c r="H18" s="5" t="inlineStr">
        <is>
          <t>View Datasheet</t>
        </is>
      </c>
    </row>
    <row r="19">
      <c r="A19" s="3" t="inlineStr">
        <is>
          <t>EGSCST 0805 SMD Component Book (5600 pcs)</t>
        </is>
      </c>
      <c r="B19" s="3" t="inlineStr">
        <is>
          <t>Parts below</t>
        </is>
      </c>
      <c r="C19" s="3" t="n">
        <v>1</v>
      </c>
      <c r="D19" s="4" t="n">
        <v>36.9</v>
      </c>
      <c r="E19" s="4">
        <f>C19*D19</f>
        <v/>
      </c>
      <c r="F19" s="3" t="inlineStr">
        <is>
          <t>Amazon</t>
        </is>
      </c>
      <c r="G19" s="5" t="inlineStr">
        <is>
          <t>View Product</t>
        </is>
      </c>
      <c r="H19" s="3" t="inlineStr"/>
    </row>
    <row r="20">
      <c r="A20" s="3" t="inlineStr">
        <is>
          <t>0805 Resistors: 1 kΩ, 330 Ω, 10 kΩ, 100 Ω</t>
        </is>
      </c>
      <c r="B20" s="3" t="inlineStr">
        <is>
          <t>R1, R2, R4–R8</t>
        </is>
      </c>
      <c r="C20" s="3" t="n">
        <v>7</v>
      </c>
      <c r="D20" s="4" t="n">
        <v>0</v>
      </c>
      <c r="E20" s="4">
        <f>C20*D20</f>
        <v/>
      </c>
      <c r="F20" s="3" t="inlineStr">
        <is>
          <t>In book</t>
        </is>
      </c>
      <c r="G20" s="5" t="inlineStr">
        <is>
          <t>View Product</t>
        </is>
      </c>
      <c r="H20" s="5" t="inlineStr">
        <is>
          <t>View Datasheet</t>
        </is>
      </c>
    </row>
    <row r="21">
      <c r="A21" s="3" t="inlineStr">
        <is>
          <t>0805 Capacitor, 10 µF</t>
        </is>
      </c>
      <c r="B21" s="3" t="inlineStr">
        <is>
          <t>C7</t>
        </is>
      </c>
      <c r="C21" s="3" t="n">
        <v>1</v>
      </c>
      <c r="D21" s="4" t="n">
        <v>0</v>
      </c>
      <c r="E21" s="4">
        <f>C21*D21</f>
        <v/>
      </c>
      <c r="F21" s="3" t="inlineStr">
        <is>
          <t>In book</t>
        </is>
      </c>
      <c r="G21" s="5" t="inlineStr">
        <is>
          <t>View Product</t>
        </is>
      </c>
      <c r="H21" s="5" t="inlineStr">
        <is>
          <t>View Datasheet</t>
        </is>
      </c>
    </row>
    <row r="22">
      <c r="A22" s="3" t="inlineStr">
        <is>
          <t>0805 Capacitor, 1 µF</t>
        </is>
      </c>
      <c r="B22" s="3" t="inlineStr">
        <is>
          <t>C9</t>
        </is>
      </c>
      <c r="C22" s="3" t="n">
        <v>1</v>
      </c>
      <c r="D22" s="4" t="n">
        <v>0</v>
      </c>
      <c r="E22" s="4">
        <f>C22*D22</f>
        <v/>
      </c>
      <c r="F22" s="3" t="inlineStr">
        <is>
          <t>In book</t>
        </is>
      </c>
      <c r="G22" s="5" t="inlineStr">
        <is>
          <t>View Product</t>
        </is>
      </c>
      <c r="H22" s="5" t="inlineStr">
        <is>
          <t>View Datasheet</t>
        </is>
      </c>
    </row>
    <row r="23">
      <c r="A23" s="3" t="inlineStr">
        <is>
          <t>0805 Capacitor, 0.47 µF</t>
        </is>
      </c>
      <c r="B23" s="3" t="inlineStr">
        <is>
          <t>C2</t>
        </is>
      </c>
      <c r="C23" s="3" t="n">
        <v>1</v>
      </c>
      <c r="D23" s="4" t="n">
        <v>0</v>
      </c>
      <c r="E23" s="4">
        <f>C23*D23</f>
        <v/>
      </c>
      <c r="F23" s="3" t="inlineStr">
        <is>
          <t>In book</t>
        </is>
      </c>
      <c r="G23" s="5" t="inlineStr">
        <is>
          <t>View Product</t>
        </is>
      </c>
      <c r="H23" s="5" t="inlineStr">
        <is>
          <t>View Datasheet</t>
        </is>
      </c>
    </row>
    <row r="24">
      <c r="A24" s="3" t="inlineStr">
        <is>
          <t>0805 Capacitor, 0.1 µF</t>
        </is>
      </c>
      <c r="B24" s="3" t="inlineStr">
        <is>
          <t>C4, C5, C6, C8</t>
        </is>
      </c>
      <c r="C24" s="3" t="n">
        <v>4</v>
      </c>
      <c r="D24" s="4" t="n">
        <v>0</v>
      </c>
      <c r="E24" s="4">
        <f>C24*D24</f>
        <v/>
      </c>
      <c r="F24" s="3" t="inlineStr">
        <is>
          <t>In book</t>
        </is>
      </c>
      <c r="G24" s="5" t="inlineStr">
        <is>
          <t>View Product</t>
        </is>
      </c>
      <c r="H24" s="5" t="inlineStr">
        <is>
          <t>View Datasheet</t>
        </is>
      </c>
    </row>
    <row r="25">
      <c r="A25" s="3" t="inlineStr">
        <is>
          <t>0805 LEDs, Green and Red</t>
        </is>
      </c>
      <c r="B25" s="3" t="inlineStr">
        <is>
          <t>D1, D3, D4</t>
        </is>
      </c>
      <c r="C25" s="3" t="n">
        <v>3</v>
      </c>
      <c r="D25" s="4" t="n">
        <v>0</v>
      </c>
      <c r="E25" s="4">
        <f>C25*D25</f>
        <v/>
      </c>
      <c r="F25" s="3" t="inlineStr">
        <is>
          <t>In book</t>
        </is>
      </c>
      <c r="G25" s="5" t="inlineStr">
        <is>
          <t>View Product</t>
        </is>
      </c>
      <c r="H25" s="5" t="inlineStr">
        <is>
          <t>View Datasheet</t>
        </is>
      </c>
    </row>
    <row r="26">
      <c r="A26" s="6" t="inlineStr">
        <is>
          <t>Total estimated cost</t>
        </is>
      </c>
      <c r="B26" s="3" t="inlineStr"/>
      <c r="C26" s="3" t="inlineStr"/>
      <c r="D26" s="4" t="inlineStr"/>
      <c r="E26" s="7">
        <f>SUM(E3:E25)</f>
        <v/>
      </c>
      <c r="F26" s="3" t="inlineStr"/>
      <c r="G26" s="3" t="inlineStr"/>
      <c r="H26" s="3" t="inlineStr"/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H14" r:id="rId24"/>
    <hyperlink xmlns:r="http://schemas.openxmlformats.org/officeDocument/2006/relationships" ref="G15" r:id="rId25"/>
    <hyperlink xmlns:r="http://schemas.openxmlformats.org/officeDocument/2006/relationships" ref="H15" r:id="rId26"/>
    <hyperlink xmlns:r="http://schemas.openxmlformats.org/officeDocument/2006/relationships" ref="G16" r:id="rId27"/>
    <hyperlink xmlns:r="http://schemas.openxmlformats.org/officeDocument/2006/relationships" ref="H16" r:id="rId28"/>
    <hyperlink xmlns:r="http://schemas.openxmlformats.org/officeDocument/2006/relationships" ref="G17" r:id="rId29"/>
    <hyperlink xmlns:r="http://schemas.openxmlformats.org/officeDocument/2006/relationships" ref="H17" r:id="rId30"/>
    <hyperlink xmlns:r="http://schemas.openxmlformats.org/officeDocument/2006/relationships" ref="G18" r:id="rId31"/>
    <hyperlink xmlns:r="http://schemas.openxmlformats.org/officeDocument/2006/relationships" ref="H18" r:id="rId32"/>
    <hyperlink xmlns:r="http://schemas.openxmlformats.org/officeDocument/2006/relationships" ref="G19" r:id="rId33"/>
    <hyperlink xmlns:r="http://schemas.openxmlformats.org/officeDocument/2006/relationships" ref="G20" r:id="rId34"/>
    <hyperlink xmlns:r="http://schemas.openxmlformats.org/officeDocument/2006/relationships" ref="H20" r:id="rId35"/>
    <hyperlink xmlns:r="http://schemas.openxmlformats.org/officeDocument/2006/relationships" ref="G21" r:id="rId36"/>
    <hyperlink xmlns:r="http://schemas.openxmlformats.org/officeDocument/2006/relationships" ref="H21" r:id="rId37"/>
    <hyperlink xmlns:r="http://schemas.openxmlformats.org/officeDocument/2006/relationships" ref="G22" r:id="rId38"/>
    <hyperlink xmlns:r="http://schemas.openxmlformats.org/officeDocument/2006/relationships" ref="H22" r:id="rId39"/>
    <hyperlink xmlns:r="http://schemas.openxmlformats.org/officeDocument/2006/relationships" ref="G23" r:id="rId40"/>
    <hyperlink xmlns:r="http://schemas.openxmlformats.org/officeDocument/2006/relationships" ref="H23" r:id="rId41"/>
    <hyperlink xmlns:r="http://schemas.openxmlformats.org/officeDocument/2006/relationships" ref="G24" r:id="rId42"/>
    <hyperlink xmlns:r="http://schemas.openxmlformats.org/officeDocument/2006/relationships" ref="H24" r:id="rId43"/>
    <hyperlink xmlns:r="http://schemas.openxmlformats.org/officeDocument/2006/relationships" ref="G25" r:id="rId44"/>
    <hyperlink xmlns:r="http://schemas.openxmlformats.org/officeDocument/2006/relationships" ref="H25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2026-10-29T06:00:30Z</dcterms:created>
  <dcterms:modified xsi:type="dcterms:W3CDTF">2026-10-29T06:00:30Z</dcterms:modified>
</cp:coreProperties>
</file>