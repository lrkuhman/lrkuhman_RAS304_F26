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E6E4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igikey.com/en/products/detail/microchip-technology/DM164150/11586705" TargetMode="External" Id="rId1" /><Relationship Type="http://schemas.openxmlformats.org/officeDocument/2006/relationships/hyperlink" Target="https://www.microchip.com/en-us/development-tool/DM164150" TargetMode="External" Id="rId2" /><Relationship Type="http://schemas.openxmlformats.org/officeDocument/2006/relationships/hyperlink" Target="https://www.amazon.com/dp/B0GSTXW158" TargetMode="External" Id="rId3" /><Relationship Type="http://schemas.openxmlformats.org/officeDocument/2006/relationships/hyperlink" Target="https://www.waveshare.com/wiki/D500_LiDAR_Kit" TargetMode="External" Id="rId4" /><Relationship Type="http://schemas.openxmlformats.org/officeDocument/2006/relationships/hyperlink" Target="https://www.amazon.com/dp/B08M31N764" TargetMode="External" Id="rId5" /><Relationship Type="http://schemas.openxmlformats.org/officeDocument/2006/relationships/hyperlink" Target="https://www.ti.com/lit/ds/symlink/lm2940-n.pdf" TargetMode="External" Id="rId6" /><Relationship Type="http://schemas.openxmlformats.org/officeDocument/2006/relationships/hyperlink" Target="https://www.amazon.com/dp/B0D6VVQ1DF" TargetMode="External" Id="rId7" /><Relationship Type="http://schemas.openxmlformats.org/officeDocument/2006/relationships/hyperlink" Target="https://info.boydcorp.com/hubfs/Thermal/Air-Cooling/Boyd-Board-Level-Heatsinks-Catalog.pdf" TargetMode="External" Id="rId8" /><Relationship Type="http://schemas.openxmlformats.org/officeDocument/2006/relationships/hyperlink" Target="https://www.digikey.com/en/products/detail/cui-devices/PJ-063AH/2161208" TargetMode="External" Id="rId9" /><Relationship Type="http://schemas.openxmlformats.org/officeDocument/2006/relationships/hyperlink" Target="https://www.sameskydevices.com/product/resource/pj-063ah.pdf" TargetMode="External" Id="rId10" /><Relationship Type="http://schemas.openxmlformats.org/officeDocument/2006/relationships/hyperlink" Target="https://www.amazon.com/dp/B0B58Z38YJ" TargetMode="External" Id="rId11" /><Relationship Type="http://schemas.openxmlformats.org/officeDocument/2006/relationships/hyperlink" Target="https://www.littelfuse.com/~/media/electronics/datasheets/fuses/littelfuse_fuse_218_datasheet.pdf.pdf" TargetMode="External" Id="rId12" /><Relationship Type="http://schemas.openxmlformats.org/officeDocument/2006/relationships/hyperlink" Target="https://www.taydaelectronics.com/fuse-holder-with-cover-5x20mm-blx-a-pcb-6-3a-250v.html" TargetMode="External" Id="rId13" /><Relationship Type="http://schemas.openxmlformats.org/officeDocument/2006/relationships/hyperlink" Target="https://www.lcsc.com/product-detail/C3131.html" TargetMode="External" Id="rId14" /><Relationship Type="http://schemas.openxmlformats.org/officeDocument/2006/relationships/hyperlink" Target="https://www.digikey.com/en/products/detail/onsemi/SS14/965474" TargetMode="External" Id="rId15" /><Relationship Type="http://schemas.openxmlformats.org/officeDocument/2006/relationships/hyperlink" Target="https://www.onsemi.com/pdf/datasheet/ss14-d.pdf" TargetMode="External" Id="rId16" /><Relationship Type="http://schemas.openxmlformats.org/officeDocument/2006/relationships/hyperlink" Target="https://www.digikey.com/en/products/result?keywords=B4B-PH-K-S(LF)(SN)" TargetMode="External" Id="rId17" /><Relationship Type="http://schemas.openxmlformats.org/officeDocument/2006/relationships/hyperlink" Target="https://www.jst-mfg.com/product/pdf/eng/ePH.pdf" TargetMode="External" Id="rId18" /><Relationship Type="http://schemas.openxmlformats.org/officeDocument/2006/relationships/hyperlink" Target="https://www.digikey.com/en/products/result?keywords=B3F-1000" TargetMode="External" Id="rId19" /><Relationship Type="http://schemas.openxmlformats.org/officeDocument/2006/relationships/hyperlink" Target="https://omronfs.omron.com/en_US/ecb/products/pdf/en-b3f.pdf" TargetMode="External" Id="rId20" /><Relationship Type="http://schemas.openxmlformats.org/officeDocument/2006/relationships/hyperlink" Target="https://www.digikey.com/en/products/result?keywords=61200821621" TargetMode="External" Id="rId21" /><Relationship Type="http://schemas.openxmlformats.org/officeDocument/2006/relationships/hyperlink" Target="https://www.we-online.com/components/products/datasheet/61200821621.pdf" TargetMode="External" Id="rId22" /><Relationship Type="http://schemas.openxmlformats.org/officeDocument/2006/relationships/hyperlink" Target="https://www.amazon.com/dp/B0G578NSXC" TargetMode="External" Id="rId23" /><Relationship Type="http://schemas.openxmlformats.org/officeDocument/2006/relationships/hyperlink" Target="https://www.we-online.com/components/products/datasheet/61301011121.pdf" TargetMode="External" Id="rId24" /><Relationship Type="http://schemas.openxmlformats.org/officeDocument/2006/relationships/hyperlink" Target="https://www.digikey.com/en/products/result?keywords=61300211121" TargetMode="External" Id="rId25" /><Relationship Type="http://schemas.openxmlformats.org/officeDocument/2006/relationships/hyperlink" Target="https://www.we-online.com/components/products/datasheet/61300211121.pdf" TargetMode="External" Id="rId26" /><Relationship Type="http://schemas.openxmlformats.org/officeDocument/2006/relationships/hyperlink" Target="https://www.digikey.com/en/products/result?keywords=60900213421" TargetMode="External" Id="rId27" /><Relationship Type="http://schemas.openxmlformats.org/officeDocument/2006/relationships/hyperlink" Target="https://www.we-online.com/components/products/datasheet/60900213421.pdf" TargetMode="External" Id="rId28" /><Relationship Type="http://schemas.openxmlformats.org/officeDocument/2006/relationships/hyperlink" Target="https://www.digikey.com/en/products/result?keywords=150080GS75000" TargetMode="External" Id="rId29" /><Relationship Type="http://schemas.openxmlformats.org/officeDocument/2006/relationships/hyperlink" Target="https://www.we-online.com/components/products/datasheet/150080GS75000.pdf" TargetMode="External" Id="rId30" /><Relationship Type="http://schemas.openxmlformats.org/officeDocument/2006/relationships/hyperlink" Target="https://www.digikey.com/en/products/result?keywords=150080RS75000" TargetMode="External" Id="rId31" /><Relationship Type="http://schemas.openxmlformats.org/officeDocument/2006/relationships/hyperlink" Target="https://www.we-online.com/components/products/datasheet/150080RS75000.pdf" TargetMode="External" Id="rId32" /><Relationship Type="http://schemas.openxmlformats.org/officeDocument/2006/relationships/hyperlink" Target="https://www.amazon.com/dp/B0DZXQPFHP" TargetMode="External" Id="rId33" /><Relationship Type="http://schemas.openxmlformats.org/officeDocument/2006/relationships/hyperlink" Target="https://www.seielect.com/catalog/sei-rmcf_rmcp.pdf" TargetMode="External" Id="rId34" /><Relationship Type="http://schemas.openxmlformats.org/officeDocument/2006/relationships/hyperlink" Target="https://www.amazon.com/dp/B0G5X62C69" TargetMode="External" Id="rId35" /><Relationship Type="http://schemas.openxmlformats.org/officeDocument/2006/relationships/hyperlink" Target="https://industrial.panasonic.com/cdbs/www-data/pdf/RDF0000/ABA0000C1209.pdf" TargetMode="External" Id="rId36" /><Relationship Type="http://schemas.openxmlformats.org/officeDocument/2006/relationships/hyperlink" Target="https://www.digikey.com/en/products/result?keywords=CL21A106KOQNNNE" TargetMode="External" Id="rId37" /><Relationship Type="http://schemas.openxmlformats.org/officeDocument/2006/relationships/hyperlink" Target="https://product.samsungsem.com/mlcc/CL21A106KOQNNN.do" TargetMode="External" Id="rId38" /><Relationship Type="http://schemas.openxmlformats.org/officeDocument/2006/relationships/hyperlink" Target="https://www.digikey.com/en/products/result?keywords=CL21B105KOFNNNE" TargetMode="External" Id="rId39" /><Relationship Type="http://schemas.openxmlformats.org/officeDocument/2006/relationships/hyperlink" Target="https://product.samsungsem.com/mlcc/CL21B105KOFNNN.do" TargetMode="External" Id="rId40" /><Relationship Type="http://schemas.openxmlformats.org/officeDocument/2006/relationships/hyperlink" Target="https://www.digikey.com/en/products/result?keywords=CL21B474KBFNNNE" TargetMode="External" Id="rId41" /><Relationship Type="http://schemas.openxmlformats.org/officeDocument/2006/relationships/hyperlink" Target="https://product.samsungsem.com/mlcc/CL21B474KBFNNN.do" TargetMode="External" Id="rId42" /><Relationship Type="http://schemas.openxmlformats.org/officeDocument/2006/relationships/hyperlink" Target="https://www.digikey.com/en/products/result?keywords=CL21B104KBCNNNC" TargetMode="External" Id="rId43" /><Relationship Type="http://schemas.openxmlformats.org/officeDocument/2006/relationships/hyperlink" Target="https://product.samsungsem.com/mlcc/CL21B104KBCNNN.do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6" customWidth="1" min="3" max="3"/>
    <col width="11" customWidth="1" min="4" max="4"/>
    <col width="11" customWidth="1" min="5" max="5"/>
    <col width="10" customWidth="1" min="6" max="6"/>
    <col width="15" customWidth="1" min="7" max="7"/>
    <col width="15" customWidth="1" min="8" max="8"/>
  </cols>
  <sheetData>
    <row r="1">
      <c r="A1" s="1" t="inlineStr">
        <is>
          <t>Bill of Materials - LiDAR Subsystem (Landon Kuhman, Team 101)</t>
        </is>
      </c>
    </row>
    <row r="2">
      <c r="A2" s="2" t="inlineStr">
        <is>
          <t>Component</t>
        </is>
      </c>
      <c r="B2" s="2" t="inlineStr">
        <is>
          <t>Ref. Des.</t>
        </is>
      </c>
      <c r="C2" s="2" t="inlineStr">
        <is>
          <t>Qty</t>
        </is>
      </c>
      <c r="D2" s="2" t="inlineStr">
        <is>
          <t>Unit Cost</t>
        </is>
      </c>
      <c r="E2" s="2" t="inlineStr">
        <is>
          <t>Total Cost</t>
        </is>
      </c>
      <c r="F2" s="2" t="inlineStr">
        <is>
          <t>Vendor</t>
        </is>
      </c>
      <c r="G2" s="2" t="inlineStr">
        <is>
          <t>Purchase Link</t>
        </is>
      </c>
      <c r="H2" s="2" t="inlineStr">
        <is>
          <t>Datasheet</t>
        </is>
      </c>
    </row>
    <row r="3">
      <c r="A3" s="3" t="inlineStr">
        <is>
          <t>PIC18F57Q43 Curiosity Nano (DM164150)</t>
        </is>
      </c>
      <c r="B3" s="3" t="inlineStr">
        <is>
          <t>U1</t>
        </is>
      </c>
      <c r="C3" s="3" t="n">
        <v>1</v>
      </c>
      <c r="D3" s="4" t="n">
        <v>10.95</v>
      </c>
      <c r="E3" s="4">
        <f>C3*D3</f>
        <v/>
      </c>
      <c r="F3" s="3" t="inlineStr">
        <is>
          <t>DigiKey</t>
        </is>
      </c>
      <c r="G3" s="5" t="inlineStr">
        <is>
          <t>View Product</t>
        </is>
      </c>
      <c r="H3" s="5" t="inlineStr">
        <is>
          <t>View Datasheet</t>
        </is>
      </c>
    </row>
    <row r="4">
      <c r="A4" s="3" t="inlineStr">
        <is>
          <t>Waveshare D500 360° LiDAR Kit</t>
        </is>
      </c>
      <c r="B4" s="3" t="inlineStr">
        <is>
          <t>J2</t>
        </is>
      </c>
      <c r="C4" s="3" t="n">
        <v>1</v>
      </c>
      <c r="D4" s="4" t="n">
        <v>50</v>
      </c>
      <c r="E4" s="4">
        <f>C4*D4</f>
        <v/>
      </c>
      <c r="F4" s="3" t="inlineStr">
        <is>
          <t>Amazon</t>
        </is>
      </c>
      <c r="G4" s="5" t="inlineStr">
        <is>
          <t>View Product</t>
        </is>
      </c>
      <c r="H4" s="5" t="inlineStr">
        <is>
          <t>View Datasheet</t>
        </is>
      </c>
    </row>
    <row r="5">
      <c r="A5" s="3" t="inlineStr">
        <is>
          <t>LM2940CT-5.0 5 V Regulator (Chanzon 10-pack)</t>
        </is>
      </c>
      <c r="B5" s="3" t="inlineStr">
        <is>
          <t>U2</t>
        </is>
      </c>
      <c r="C5" s="3" t="n">
        <v>1</v>
      </c>
      <c r="D5" s="4" t="n">
        <v>7.99</v>
      </c>
      <c r="E5" s="4">
        <f>C5*D5</f>
        <v/>
      </c>
      <c r="F5" s="3" t="inlineStr">
        <is>
          <t>Amazon</t>
        </is>
      </c>
      <c r="G5" s="5" t="inlineStr">
        <is>
          <t>View Product</t>
        </is>
      </c>
      <c r="H5" s="5" t="inlineStr">
        <is>
          <t>View Datasheet</t>
        </is>
      </c>
    </row>
    <row r="6">
      <c r="A6" s="3" t="inlineStr">
        <is>
          <t>TO-220 Heatsink (Heyous 30-pack)</t>
        </is>
      </c>
      <c r="B6" s="3" t="inlineStr">
        <is>
          <t>U2</t>
        </is>
      </c>
      <c r="C6" s="3" t="n">
        <v>1</v>
      </c>
      <c r="D6" s="4" t="n">
        <v>7.99</v>
      </c>
      <c r="E6" s="4">
        <f>C6*D6</f>
        <v/>
      </c>
      <c r="F6" s="3" t="inlineStr">
        <is>
          <t>Amazon</t>
        </is>
      </c>
      <c r="G6" s="5" t="inlineStr">
        <is>
          <t>View Product</t>
        </is>
      </c>
      <c r="H6" s="5" t="inlineStr">
        <is>
          <t>View Datasheet</t>
        </is>
      </c>
    </row>
    <row r="7">
      <c r="A7" s="3" t="inlineStr">
        <is>
          <t>CUI PJ-063AH Barrel Jack</t>
        </is>
      </c>
      <c r="B7" s="3" t="inlineStr">
        <is>
          <t>J1</t>
        </is>
      </c>
      <c r="C7" s="3" t="n">
        <v>1</v>
      </c>
      <c r="D7" s="4" t="n">
        <v>1.5</v>
      </c>
      <c r="E7" s="4">
        <f>C7*D7</f>
        <v/>
      </c>
      <c r="F7" s="3" t="inlineStr">
        <is>
          <t>DigiKey</t>
        </is>
      </c>
      <c r="G7" s="5" t="inlineStr">
        <is>
          <t>View Product</t>
        </is>
      </c>
      <c r="H7" s="5" t="inlineStr">
        <is>
          <t>View Datasheet</t>
        </is>
      </c>
    </row>
    <row r="8">
      <c r="A8" s="3" t="inlineStr">
        <is>
          <t>T750mA 250 V Slow-Blow Fuse, 5 × 20 mm (20-pack)</t>
        </is>
      </c>
      <c r="B8" s="3" t="inlineStr">
        <is>
          <t>F1</t>
        </is>
      </c>
      <c r="C8" s="3" t="n">
        <v>1</v>
      </c>
      <c r="D8" s="4" t="n">
        <v>7.99</v>
      </c>
      <c r="E8" s="4">
        <f>C8*D8</f>
        <v/>
      </c>
      <c r="F8" s="3" t="inlineStr">
        <is>
          <t>Amazon</t>
        </is>
      </c>
      <c r="G8" s="5" t="inlineStr">
        <is>
          <t>View Product</t>
        </is>
      </c>
      <c r="H8" s="5" t="inlineStr">
        <is>
          <t>View Datasheet</t>
        </is>
      </c>
    </row>
    <row r="9">
      <c r="A9" s="3" t="inlineStr">
        <is>
          <t>BLX-A Fuse Holder with Cover, 5 × 20 mm</t>
        </is>
      </c>
      <c r="B9" s="3" t="inlineStr">
        <is>
          <t>F1</t>
        </is>
      </c>
      <c r="C9" s="3" t="n">
        <v>1</v>
      </c>
      <c r="D9" s="4" t="n">
        <v>0.1</v>
      </c>
      <c r="E9" s="4">
        <f>C9*D9</f>
        <v/>
      </c>
      <c r="F9" s="3" t="inlineStr">
        <is>
          <t>Tayda</t>
        </is>
      </c>
      <c r="G9" s="5" t="inlineStr">
        <is>
          <t>View Product</t>
        </is>
      </c>
      <c r="H9" s="5" t="inlineStr">
        <is>
          <t>View Datasheet</t>
        </is>
      </c>
    </row>
    <row r="10">
      <c r="A10" s="3" t="inlineStr">
        <is>
          <t>onsemi SS14 Schottky Diode</t>
        </is>
      </c>
      <c r="B10" s="3" t="inlineStr">
        <is>
          <t>D2</t>
        </is>
      </c>
      <c r="C10" s="3" t="n">
        <v>1</v>
      </c>
      <c r="D10" s="4" t="n">
        <v>0.5</v>
      </c>
      <c r="E10" s="4">
        <f>C10*D10</f>
        <v/>
      </c>
      <c r="F10" s="3" t="inlineStr">
        <is>
          <t>DigiKey</t>
        </is>
      </c>
      <c r="G10" s="5" t="inlineStr">
        <is>
          <t>View Product</t>
        </is>
      </c>
      <c r="H10" s="5" t="inlineStr">
        <is>
          <t>View Datasheet</t>
        </is>
      </c>
    </row>
    <row r="11">
      <c r="A11" s="3" t="inlineStr">
        <is>
          <t>JST B4B-PH-K-S 4-Pin Header</t>
        </is>
      </c>
      <c r="B11" s="3" t="inlineStr">
        <is>
          <t>J2</t>
        </is>
      </c>
      <c r="C11" s="3" t="n">
        <v>1</v>
      </c>
      <c r="D11" s="4" t="n">
        <v>0.2</v>
      </c>
      <c r="E11" s="4">
        <f>C11*D11</f>
        <v/>
      </c>
      <c r="F11" s="3" t="inlineStr">
        <is>
          <t>DigiKey</t>
        </is>
      </c>
      <c r="G11" s="5" t="inlineStr">
        <is>
          <t>View Product</t>
        </is>
      </c>
      <c r="H11" s="5" t="inlineStr">
        <is>
          <t>View Datasheet</t>
        </is>
      </c>
    </row>
    <row r="12">
      <c r="A12" s="3" t="inlineStr">
        <is>
          <t>Omron B3F-1000 Pushbutton</t>
        </is>
      </c>
      <c r="B12" s="3" t="inlineStr">
        <is>
          <t>SW1</t>
        </is>
      </c>
      <c r="C12" s="3" t="n">
        <v>1</v>
      </c>
      <c r="D12" s="4" t="n">
        <v>0.26</v>
      </c>
      <c r="E12" s="4">
        <f>C12*D12</f>
        <v/>
      </c>
      <c r="F12" s="3" t="inlineStr">
        <is>
          <t>DigiKey</t>
        </is>
      </c>
      <c r="G12" s="5" t="inlineStr">
        <is>
          <t>View Product</t>
        </is>
      </c>
      <c r="H12" s="5" t="inlineStr">
        <is>
          <t>View Datasheet</t>
        </is>
      </c>
    </row>
    <row r="13">
      <c r="A13" s="3" t="inlineStr">
        <is>
          <t>Würth 61200821621 Box Header, 2 × 4</t>
        </is>
      </c>
      <c r="B13" s="3" t="inlineStr">
        <is>
          <t>J3</t>
        </is>
      </c>
      <c r="C13" s="3" t="n">
        <v>1</v>
      </c>
      <c r="D13" s="4" t="n">
        <v>0.6</v>
      </c>
      <c r="E13" s="4">
        <f>C13*D13</f>
        <v/>
      </c>
      <c r="F13" s="3" t="inlineStr">
        <is>
          <t>DigiKey</t>
        </is>
      </c>
      <c r="G13" s="5" t="inlineStr">
        <is>
          <t>View Product</t>
        </is>
      </c>
      <c r="H13" s="5" t="inlineStr">
        <is>
          <t>View Datasheet</t>
        </is>
      </c>
    </row>
    <row r="14">
      <c r="A14" s="3" t="inlineStr">
        <is>
          <t>2.54 mm Header Kit, 1 × 10 (QSYZAIL 122-pc kit)</t>
        </is>
      </c>
      <c r="B14" s="3" t="inlineStr">
        <is>
          <t>J4, J5</t>
        </is>
      </c>
      <c r="C14" s="3" t="n">
        <v>1</v>
      </c>
      <c r="D14" s="4" t="n">
        <v>9.99</v>
      </c>
      <c r="E14" s="4">
        <f>C14*D14</f>
        <v/>
      </c>
      <c r="F14" s="3" t="inlineStr">
        <is>
          <t>Amazon</t>
        </is>
      </c>
      <c r="G14" s="5" t="inlineStr">
        <is>
          <t>View Product</t>
        </is>
      </c>
      <c r="H14" s="5" t="inlineStr">
        <is>
          <t>View Datasheet</t>
        </is>
      </c>
    </row>
    <row r="15">
      <c r="A15" s="3" t="inlineStr">
        <is>
          <t>Würth 61300211121 Pin Header, 1 × 2</t>
        </is>
      </c>
      <c r="B15" s="3" t="inlineStr">
        <is>
          <t>JP1–JP5</t>
        </is>
      </c>
      <c r="C15" s="3" t="n">
        <v>5</v>
      </c>
      <c r="D15" s="4" t="n">
        <v>0.15</v>
      </c>
      <c r="E15" s="4">
        <f>C15*D15</f>
        <v/>
      </c>
      <c r="F15" s="3" t="inlineStr">
        <is>
          <t>DigiKey</t>
        </is>
      </c>
      <c r="G15" s="5" t="inlineStr">
        <is>
          <t>View Product</t>
        </is>
      </c>
      <c r="H15" s="5" t="inlineStr">
        <is>
          <t>View Datasheet</t>
        </is>
      </c>
    </row>
    <row r="16">
      <c r="A16" s="3" t="inlineStr">
        <is>
          <t>Würth 60900213421 Jumper Shunt</t>
        </is>
      </c>
      <c r="B16" s="3" t="inlineStr">
        <is>
          <t>JP1–JP5</t>
        </is>
      </c>
      <c r="C16" s="3" t="n">
        <v>5</v>
      </c>
      <c r="D16" s="4" t="n">
        <v>0.15</v>
      </c>
      <c r="E16" s="4">
        <f>C16*D16</f>
        <v/>
      </c>
      <c r="F16" s="3" t="inlineStr">
        <is>
          <t>DigiKey</t>
        </is>
      </c>
      <c r="G16" s="5" t="inlineStr">
        <is>
          <t>View Product</t>
        </is>
      </c>
      <c r="H16" s="5" t="inlineStr">
        <is>
          <t>View Datasheet</t>
        </is>
      </c>
    </row>
    <row r="17">
      <c r="A17" s="3" t="inlineStr">
        <is>
          <t>Würth 150080GS75000 Green LED, 0805</t>
        </is>
      </c>
      <c r="B17" s="3" t="inlineStr">
        <is>
          <t>D1, D4</t>
        </is>
      </c>
      <c r="C17" s="3" t="n">
        <v>2</v>
      </c>
      <c r="D17" s="4" t="n">
        <v>0.25</v>
      </c>
      <c r="E17" s="4">
        <f>C17*D17</f>
        <v/>
      </c>
      <c r="F17" s="3" t="inlineStr">
        <is>
          <t>DigiKey</t>
        </is>
      </c>
      <c r="G17" s="5" t="inlineStr">
        <is>
          <t>View Product</t>
        </is>
      </c>
      <c r="H17" s="5" t="inlineStr">
        <is>
          <t>View Datasheet</t>
        </is>
      </c>
    </row>
    <row r="18">
      <c r="A18" s="3" t="inlineStr">
        <is>
          <t>Würth 150080RS75000 Red LED, 0805</t>
        </is>
      </c>
      <c r="B18" s="3" t="inlineStr">
        <is>
          <t>D3</t>
        </is>
      </c>
      <c r="C18" s="3" t="n">
        <v>1</v>
      </c>
      <c r="D18" s="4" t="n">
        <v>0.25</v>
      </c>
      <c r="E18" s="4">
        <f>C18*D18</f>
        <v/>
      </c>
      <c r="F18" s="3" t="inlineStr">
        <is>
          <t>DigiKey</t>
        </is>
      </c>
      <c r="G18" s="5" t="inlineStr">
        <is>
          <t>View Product</t>
        </is>
      </c>
      <c r="H18" s="5" t="inlineStr">
        <is>
          <t>View Datasheet</t>
        </is>
      </c>
    </row>
    <row r="19">
      <c r="A19" s="3" t="inlineStr">
        <is>
          <t>0805 Resistors: 1 kΩ, 330 Ω, 10 kΩ, 100 Ω (EGSCST 0805 kit)</t>
        </is>
      </c>
      <c r="B19" s="3" t="inlineStr">
        <is>
          <t>R1, R2, R4–R8</t>
        </is>
      </c>
      <c r="C19" s="3" t="n">
        <v>1</v>
      </c>
      <c r="D19" s="4" t="n">
        <v>36.9</v>
      </c>
      <c r="E19" s="4">
        <f>C19*D19</f>
        <v/>
      </c>
      <c r="F19" s="3" t="inlineStr">
        <is>
          <t>Amazon</t>
        </is>
      </c>
      <c r="G19" s="5" t="inlineStr">
        <is>
          <t>View Product</t>
        </is>
      </c>
      <c r="H19" s="5" t="inlineStr">
        <is>
          <t>View Datasheet</t>
        </is>
      </c>
    </row>
    <row r="20">
      <c r="A20" s="3" t="inlineStr">
        <is>
          <t>Electrolytic Capacitors: 100 µF 25 V, 22 µF 16 V (Tnisesm kit)</t>
        </is>
      </c>
      <c r="B20" s="3" t="inlineStr">
        <is>
          <t>C1, C3</t>
        </is>
      </c>
      <c r="C20" s="3" t="n">
        <v>1</v>
      </c>
      <c r="D20" s="4" t="n">
        <v>8.99</v>
      </c>
      <c r="E20" s="4">
        <f>C20*D20</f>
        <v/>
      </c>
      <c r="F20" s="3" t="inlineStr">
        <is>
          <t>Amazon</t>
        </is>
      </c>
      <c r="G20" s="5" t="inlineStr">
        <is>
          <t>View Product</t>
        </is>
      </c>
      <c r="H20" s="5" t="inlineStr">
        <is>
          <t>View Datasheet</t>
        </is>
      </c>
    </row>
    <row r="21">
      <c r="A21" s="3" t="inlineStr">
        <is>
          <t>Samsung CL21A106KOQNNNE 10 µF 16 V Capacitor</t>
        </is>
      </c>
      <c r="B21" s="3" t="inlineStr">
        <is>
          <t>C7</t>
        </is>
      </c>
      <c r="C21" s="3" t="n">
        <v>1</v>
      </c>
      <c r="D21" s="4" t="n">
        <v>0.2</v>
      </c>
      <c r="E21" s="4">
        <f>C21*D21</f>
        <v/>
      </c>
      <c r="F21" s="3" t="inlineStr">
        <is>
          <t>DigiKey</t>
        </is>
      </c>
      <c r="G21" s="5" t="inlineStr">
        <is>
          <t>View Product</t>
        </is>
      </c>
      <c r="H21" s="5" t="inlineStr">
        <is>
          <t>View Datasheet</t>
        </is>
      </c>
    </row>
    <row r="22">
      <c r="A22" s="3" t="inlineStr">
        <is>
          <t>Samsung CL21B105KOFNNNE 1 µF 16 V Capacitor</t>
        </is>
      </c>
      <c r="B22" s="3" t="inlineStr">
        <is>
          <t>C9</t>
        </is>
      </c>
      <c r="C22" s="3" t="n">
        <v>1</v>
      </c>
      <c r="D22" s="4" t="n">
        <v>0.1</v>
      </c>
      <c r="E22" s="4">
        <f>C22*D22</f>
        <v/>
      </c>
      <c r="F22" s="3" t="inlineStr">
        <is>
          <t>DigiKey</t>
        </is>
      </c>
      <c r="G22" s="5" t="inlineStr">
        <is>
          <t>View Product</t>
        </is>
      </c>
      <c r="H22" s="5" t="inlineStr">
        <is>
          <t>View Datasheet</t>
        </is>
      </c>
    </row>
    <row r="23">
      <c r="A23" s="3" t="inlineStr">
        <is>
          <t>Samsung CL21B474KBFNNNE 0.47 µF 50 V Capacitor</t>
        </is>
      </c>
      <c r="B23" s="3" t="inlineStr">
        <is>
          <t>C2</t>
        </is>
      </c>
      <c r="C23" s="3" t="n">
        <v>1</v>
      </c>
      <c r="D23" s="4" t="n">
        <v>0.1</v>
      </c>
      <c r="E23" s="4">
        <f>C23*D23</f>
        <v/>
      </c>
      <c r="F23" s="3" t="inlineStr">
        <is>
          <t>DigiKey</t>
        </is>
      </c>
      <c r="G23" s="5" t="inlineStr">
        <is>
          <t>View Product</t>
        </is>
      </c>
      <c r="H23" s="5" t="inlineStr">
        <is>
          <t>View Datasheet</t>
        </is>
      </c>
    </row>
    <row r="24">
      <c r="A24" s="3" t="inlineStr">
        <is>
          <t>Samsung CL21B104KBCNNNC 0.1 µF 50 V Capacitor</t>
        </is>
      </c>
      <c r="B24" s="3" t="inlineStr">
        <is>
          <t>C4, C5, C6, C8</t>
        </is>
      </c>
      <c r="C24" s="3" t="n">
        <v>4</v>
      </c>
      <c r="D24" s="4" t="n">
        <v>0.1</v>
      </c>
      <c r="E24" s="4">
        <f>C24*D24</f>
        <v/>
      </c>
      <c r="F24" s="3" t="inlineStr">
        <is>
          <t>DigiKey</t>
        </is>
      </c>
      <c r="G24" s="5" t="inlineStr">
        <is>
          <t>View Product</t>
        </is>
      </c>
      <c r="H24" s="5" t="inlineStr">
        <is>
          <t>View Datasheet</t>
        </is>
      </c>
    </row>
    <row r="25">
      <c r="A25" s="6" t="inlineStr">
        <is>
          <t>Total estimated cost</t>
        </is>
      </c>
      <c r="B25" s="3" t="inlineStr"/>
      <c r="C25" s="3" t="inlineStr"/>
      <c r="D25" s="4" t="inlineStr"/>
      <c r="E25" s="7">
        <f>SUM(E3:E24)</f>
        <v/>
      </c>
      <c r="F25" s="3" t="inlineStr"/>
      <c r="G25" s="3" t="inlineStr"/>
      <c r="H25" s="3" t="inlineStr"/>
    </row>
  </sheetData>
  <mergeCells count="1">
    <mergeCell ref="A1:H1"/>
  </mergeCells>
  <hyperlinks>
    <hyperlink xmlns:r="http://schemas.openxmlformats.org/officeDocument/2006/relationships" ref="G3" r:id="rId1"/>
    <hyperlink xmlns:r="http://schemas.openxmlformats.org/officeDocument/2006/relationships" ref="H3" r:id="rId2"/>
    <hyperlink xmlns:r="http://schemas.openxmlformats.org/officeDocument/2006/relationships" ref="G4" r:id="rId3"/>
    <hyperlink xmlns:r="http://schemas.openxmlformats.org/officeDocument/2006/relationships" ref="H4" r:id="rId4"/>
    <hyperlink xmlns:r="http://schemas.openxmlformats.org/officeDocument/2006/relationships" ref="G5" r:id="rId5"/>
    <hyperlink xmlns:r="http://schemas.openxmlformats.org/officeDocument/2006/relationships" ref="H5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G7" r:id="rId9"/>
    <hyperlink xmlns:r="http://schemas.openxmlformats.org/officeDocument/2006/relationships" ref="H7" r:id="rId10"/>
    <hyperlink xmlns:r="http://schemas.openxmlformats.org/officeDocument/2006/relationships" ref="G8" r:id="rId11"/>
    <hyperlink xmlns:r="http://schemas.openxmlformats.org/officeDocument/2006/relationships" ref="H8" r:id="rId12"/>
    <hyperlink xmlns:r="http://schemas.openxmlformats.org/officeDocument/2006/relationships" ref="G9" r:id="rId13"/>
    <hyperlink xmlns:r="http://schemas.openxmlformats.org/officeDocument/2006/relationships" ref="H9" r:id="rId14"/>
    <hyperlink xmlns:r="http://schemas.openxmlformats.org/officeDocument/2006/relationships" ref="G10" r:id="rId15"/>
    <hyperlink xmlns:r="http://schemas.openxmlformats.org/officeDocument/2006/relationships" ref="H10" r:id="rId16"/>
    <hyperlink xmlns:r="http://schemas.openxmlformats.org/officeDocument/2006/relationships" ref="G11" r:id="rId17"/>
    <hyperlink xmlns:r="http://schemas.openxmlformats.org/officeDocument/2006/relationships" ref="H11" r:id="rId18"/>
    <hyperlink xmlns:r="http://schemas.openxmlformats.org/officeDocument/2006/relationships" ref="G12" r:id="rId19"/>
    <hyperlink xmlns:r="http://schemas.openxmlformats.org/officeDocument/2006/relationships" ref="H12" r:id="rId20"/>
    <hyperlink xmlns:r="http://schemas.openxmlformats.org/officeDocument/2006/relationships" ref="G13" r:id="rId21"/>
    <hyperlink xmlns:r="http://schemas.openxmlformats.org/officeDocument/2006/relationships" ref="H13" r:id="rId22"/>
    <hyperlink xmlns:r="http://schemas.openxmlformats.org/officeDocument/2006/relationships" ref="G14" r:id="rId23"/>
    <hyperlink xmlns:r="http://schemas.openxmlformats.org/officeDocument/2006/relationships" ref="H14" r:id="rId24"/>
    <hyperlink xmlns:r="http://schemas.openxmlformats.org/officeDocument/2006/relationships" ref="G15" r:id="rId25"/>
    <hyperlink xmlns:r="http://schemas.openxmlformats.org/officeDocument/2006/relationships" ref="H15" r:id="rId26"/>
    <hyperlink xmlns:r="http://schemas.openxmlformats.org/officeDocument/2006/relationships" ref="G16" r:id="rId27"/>
    <hyperlink xmlns:r="http://schemas.openxmlformats.org/officeDocument/2006/relationships" ref="H16" r:id="rId28"/>
    <hyperlink xmlns:r="http://schemas.openxmlformats.org/officeDocument/2006/relationships" ref="G17" r:id="rId29"/>
    <hyperlink xmlns:r="http://schemas.openxmlformats.org/officeDocument/2006/relationships" ref="H17" r:id="rId30"/>
    <hyperlink xmlns:r="http://schemas.openxmlformats.org/officeDocument/2006/relationships" ref="G18" r:id="rId31"/>
    <hyperlink xmlns:r="http://schemas.openxmlformats.org/officeDocument/2006/relationships" ref="H18" r:id="rId32"/>
    <hyperlink xmlns:r="http://schemas.openxmlformats.org/officeDocument/2006/relationships" ref="G19" r:id="rId33"/>
    <hyperlink xmlns:r="http://schemas.openxmlformats.org/officeDocument/2006/relationships" ref="H19" r:id="rId34"/>
    <hyperlink xmlns:r="http://schemas.openxmlformats.org/officeDocument/2006/relationships" ref="G20" r:id="rId35"/>
    <hyperlink xmlns:r="http://schemas.openxmlformats.org/officeDocument/2006/relationships" ref="H20" r:id="rId36"/>
    <hyperlink xmlns:r="http://schemas.openxmlformats.org/officeDocument/2006/relationships" ref="G21" r:id="rId37"/>
    <hyperlink xmlns:r="http://schemas.openxmlformats.org/officeDocument/2006/relationships" ref="H21" r:id="rId38"/>
    <hyperlink xmlns:r="http://schemas.openxmlformats.org/officeDocument/2006/relationships" ref="G22" r:id="rId39"/>
    <hyperlink xmlns:r="http://schemas.openxmlformats.org/officeDocument/2006/relationships" ref="H22" r:id="rId40"/>
    <hyperlink xmlns:r="http://schemas.openxmlformats.org/officeDocument/2006/relationships" ref="G23" r:id="rId41"/>
    <hyperlink xmlns:r="http://schemas.openxmlformats.org/officeDocument/2006/relationships" ref="H23" r:id="rId42"/>
    <hyperlink xmlns:r="http://schemas.openxmlformats.org/officeDocument/2006/relationships" ref="G24" r:id="rId43"/>
    <hyperlink xmlns:r="http://schemas.openxmlformats.org/officeDocument/2006/relationships" ref="H24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2026-10-29T05:50:56Z</dcterms:created>
  <dcterms:modified xsi:type="dcterms:W3CDTF">2026-10-29T05:50:56Z</dcterms:modified>
</cp:coreProperties>
</file>