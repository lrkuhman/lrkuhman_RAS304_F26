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O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5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  <font>
      <color rgb="000563C1"/>
      <u val="single"/>
    </font>
  </fonts>
  <fills count="3">
    <fill>
      <patternFill/>
    </fill>
    <fill>
      <patternFill patternType="gray125"/>
    </fill>
    <fill>
      <patternFill patternType="solid">
        <fgColor rgb="001E6E4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 wrapText="1"/>
    </xf>
    <xf numFmtId="0" fontId="0" fillId="0" borderId="1" pivotButton="0" quotePrefix="0" xfId="0"/>
    <xf numFmtId="164" fontId="0" fillId="0" borderId="1" pivotButton="0" quotePrefix="0" xfId="0"/>
    <xf numFmtId="0" fontId="4" fillId="0" borderId="1" pivotButton="0" quotePrefix="0" xfId="0"/>
    <xf numFmtId="0" fontId="3" fillId="0" borderId="1" pivotButton="0" quotePrefix="0" xfId="0"/>
    <xf numFmtId="164" fontId="3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digikey.com/en/products/detail/microchip-technology/DM164150/11586705" TargetMode="External" Id="rId1" /><Relationship Type="http://schemas.openxmlformats.org/officeDocument/2006/relationships/hyperlink" Target="https://www.microchip.com/en-us/development-tool/DM164150" TargetMode="External" Id="rId2" /><Relationship Type="http://schemas.openxmlformats.org/officeDocument/2006/relationships/hyperlink" Target="https://www.amazon.com/dp/B0GSTXW158" TargetMode="External" Id="rId3" /><Relationship Type="http://schemas.openxmlformats.org/officeDocument/2006/relationships/hyperlink" Target="https://www.waveshare.com/wiki/D500_LiDAR_Kit" TargetMode="External" Id="rId4" /><Relationship Type="http://schemas.openxmlformats.org/officeDocument/2006/relationships/hyperlink" Target="https://www.digikey.com/en/products/detail/texas-instruments/LM2940CT-5-0-NOPB/32575" TargetMode="External" Id="rId5" /><Relationship Type="http://schemas.openxmlformats.org/officeDocument/2006/relationships/hyperlink" Target="https://www.ti.com/lit/ds/symlink/lm2940-n.pdf" TargetMode="External" Id="rId6" /><Relationship Type="http://schemas.openxmlformats.org/officeDocument/2006/relationships/hyperlink" Target="https://www.digikey.com/en/products/detail/cui-devices/PJ-063AH/2161208" TargetMode="External" Id="rId7" /><Relationship Type="http://schemas.openxmlformats.org/officeDocument/2006/relationships/hyperlink" Target="https://www.taydaelectronics.com/fuse-holder-with-cover-5x20mm-blx-a-pcb-6-3a-250v.html" TargetMode="External" Id="rId8" /><Relationship Type="http://schemas.openxmlformats.org/officeDocument/2006/relationships/hyperlink" Target="https://www.digikey.com/en/products/detail/onsemi/SS14/965474" TargetMode="External" Id="rId9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6" customWidth="1" min="3" max="3"/>
    <col width="11" customWidth="1" min="4" max="4"/>
    <col width="11" customWidth="1" min="5" max="5"/>
    <col width="10" customWidth="1" min="6" max="6"/>
    <col width="15" customWidth="1" min="7" max="7"/>
    <col width="15" customWidth="1" min="8" max="8"/>
  </cols>
  <sheetData>
    <row r="1">
      <c r="A1" s="1" t="inlineStr">
        <is>
          <t>Bill of Materials - LiDAR Subsystem (Landon Kuhman, Team 101)</t>
        </is>
      </c>
    </row>
    <row r="2">
      <c r="A2" s="2" t="inlineStr">
        <is>
          <t>Component</t>
        </is>
      </c>
      <c r="B2" s="2" t="inlineStr">
        <is>
          <t>Ref. Des.</t>
        </is>
      </c>
      <c r="C2" s="2" t="inlineStr">
        <is>
          <t>Qty</t>
        </is>
      </c>
      <c r="D2" s="2" t="inlineStr">
        <is>
          <t>Unit Cost</t>
        </is>
      </c>
      <c r="E2" s="2" t="inlineStr">
        <is>
          <t>Total Cost</t>
        </is>
      </c>
      <c r="F2" s="2" t="inlineStr">
        <is>
          <t>Vendor</t>
        </is>
      </c>
      <c r="G2" s="2" t="inlineStr">
        <is>
          <t>Purchase Link</t>
        </is>
      </c>
      <c r="H2" s="2" t="inlineStr">
        <is>
          <t>Datasheet</t>
        </is>
      </c>
    </row>
    <row r="3">
      <c r="A3" s="3" t="inlineStr">
        <is>
          <t>PIC18F57Q43 Curiosity Nano (DM164150)</t>
        </is>
      </c>
      <c r="B3" s="3" t="inlineStr">
        <is>
          <t>U1</t>
        </is>
      </c>
      <c r="C3" s="3" t="n">
        <v>1</v>
      </c>
      <c r="D3" s="4" t="n">
        <v>10.95</v>
      </c>
      <c r="E3" s="4">
        <f>C3*D3</f>
        <v/>
      </c>
      <c r="F3" s="3" t="inlineStr">
        <is>
          <t>DigiKey</t>
        </is>
      </c>
      <c r="G3" s="5" t="inlineStr">
        <is>
          <t>View Product</t>
        </is>
      </c>
      <c r="H3" s="5" t="inlineStr">
        <is>
          <t>View Datasheet</t>
        </is>
      </c>
    </row>
    <row r="4">
      <c r="A4" s="3" t="inlineStr">
        <is>
          <t>Waveshare D500 360° LiDAR Kit</t>
        </is>
      </c>
      <c r="B4" s="3" t="inlineStr">
        <is>
          <t>J2</t>
        </is>
      </c>
      <c r="C4" s="3" t="n">
        <v>1</v>
      </c>
      <c r="D4" s="4" t="n">
        <v>50</v>
      </c>
      <c r="E4" s="4">
        <f>C4*D4</f>
        <v/>
      </c>
      <c r="F4" s="3" t="inlineStr">
        <is>
          <t>Amazon</t>
        </is>
      </c>
      <c r="G4" s="5" t="inlineStr">
        <is>
          <t>View Product</t>
        </is>
      </c>
      <c r="H4" s="5" t="inlineStr">
        <is>
          <t>View Datasheet</t>
        </is>
      </c>
    </row>
    <row r="5">
      <c r="A5" s="3" t="inlineStr">
        <is>
          <t>TI LM2940CT-5.0 5 V Regulator</t>
        </is>
      </c>
      <c r="B5" s="3" t="inlineStr">
        <is>
          <t>U2</t>
        </is>
      </c>
      <c r="C5" s="3" t="n">
        <v>1</v>
      </c>
      <c r="D5" s="4" t="n">
        <v>1.94</v>
      </c>
      <c r="E5" s="4">
        <f>C5*D5</f>
        <v/>
      </c>
      <c r="F5" s="3" t="inlineStr">
        <is>
          <t>DigiKey</t>
        </is>
      </c>
      <c r="G5" s="5" t="inlineStr">
        <is>
          <t>View Product</t>
        </is>
      </c>
      <c r="H5" s="5" t="inlineStr">
        <is>
          <t>View Datasheet</t>
        </is>
      </c>
    </row>
    <row r="6">
      <c r="A6" s="3" t="inlineStr">
        <is>
          <t>TO-220 Heatsink</t>
        </is>
      </c>
      <c r="B6" s="3" t="inlineStr">
        <is>
          <t>U2</t>
        </is>
      </c>
      <c r="C6" s="3" t="n">
        <v>1</v>
      </c>
      <c r="D6" s="4" t="n">
        <v>0.6</v>
      </c>
      <c r="E6" s="4">
        <f>C6*D6</f>
        <v/>
      </c>
      <c r="F6" s="3" t="inlineStr">
        <is>
          <t>Generic</t>
        </is>
      </c>
      <c r="G6" s="3" t="inlineStr"/>
      <c r="H6" s="3" t="inlineStr"/>
    </row>
    <row r="7">
      <c r="A7" s="3" t="inlineStr">
        <is>
          <t>CUI PJ-063AH Barrel Jack</t>
        </is>
      </c>
      <c r="B7" s="3" t="inlineStr">
        <is>
          <t>J1</t>
        </is>
      </c>
      <c r="C7" s="3" t="n">
        <v>1</v>
      </c>
      <c r="D7" s="4" t="n">
        <v>1.5</v>
      </c>
      <c r="E7" s="4">
        <f>C7*D7</f>
        <v/>
      </c>
      <c r="F7" s="3" t="inlineStr">
        <is>
          <t>DigiKey</t>
        </is>
      </c>
      <c r="G7" s="5" t="inlineStr">
        <is>
          <t>View Product</t>
        </is>
      </c>
      <c r="H7" s="3" t="inlineStr"/>
    </row>
    <row r="8">
      <c r="A8" s="3" t="inlineStr">
        <is>
          <t>750 mA Slow-Blow Fuse, 5 × 20 mm</t>
        </is>
      </c>
      <c r="B8" s="3" t="inlineStr">
        <is>
          <t>F1</t>
        </is>
      </c>
      <c r="C8" s="3" t="n">
        <v>1</v>
      </c>
      <c r="D8" s="4" t="n">
        <v>0.3</v>
      </c>
      <c r="E8" s="4">
        <f>C8*D8</f>
        <v/>
      </c>
      <c r="F8" s="3" t="inlineStr">
        <is>
          <t>Generic</t>
        </is>
      </c>
      <c r="G8" s="3" t="inlineStr"/>
      <c r="H8" s="3" t="inlineStr"/>
    </row>
    <row r="9">
      <c r="A9" s="3" t="inlineStr">
        <is>
          <t>BLX-A Fuse Holder, 5 × 20 mm</t>
        </is>
      </c>
      <c r="B9" s="3" t="inlineStr">
        <is>
          <t>F1</t>
        </is>
      </c>
      <c r="C9" s="3" t="n">
        <v>1</v>
      </c>
      <c r="D9" s="4" t="n">
        <v>0.1</v>
      </c>
      <c r="E9" s="4">
        <f>C9*D9</f>
        <v/>
      </c>
      <c r="F9" s="3" t="inlineStr">
        <is>
          <t>Tayda</t>
        </is>
      </c>
      <c r="G9" s="5" t="inlineStr">
        <is>
          <t>View Product</t>
        </is>
      </c>
      <c r="H9" s="3" t="inlineStr"/>
    </row>
    <row r="10">
      <c r="A10" s="3" t="inlineStr">
        <is>
          <t>SS14 Schottky Diode</t>
        </is>
      </c>
      <c r="B10" s="3" t="inlineStr">
        <is>
          <t>D2</t>
        </is>
      </c>
      <c r="C10" s="3" t="n">
        <v>1</v>
      </c>
      <c r="D10" s="4" t="n">
        <v>0.5</v>
      </c>
      <c r="E10" s="4">
        <f>C10*D10</f>
        <v/>
      </c>
      <c r="F10" s="3" t="inlineStr">
        <is>
          <t>DigiKey</t>
        </is>
      </c>
      <c r="G10" s="5" t="inlineStr">
        <is>
          <t>View Product</t>
        </is>
      </c>
      <c r="H10" s="3" t="inlineStr"/>
    </row>
    <row r="11">
      <c r="A11" s="3" t="inlineStr">
        <is>
          <t>JST B4B-PH-K-S 4-Pin Header</t>
        </is>
      </c>
      <c r="B11" s="3" t="inlineStr">
        <is>
          <t>J2</t>
        </is>
      </c>
      <c r="C11" s="3" t="n">
        <v>1</v>
      </c>
      <c r="D11" s="4" t="n">
        <v>0.2</v>
      </c>
      <c r="E11" s="4">
        <f>C11*D11</f>
        <v/>
      </c>
      <c r="F11" s="3" t="inlineStr">
        <is>
          <t>Generic</t>
        </is>
      </c>
      <c r="G11" s="3" t="inlineStr"/>
      <c r="H11" s="3" t="inlineStr"/>
    </row>
    <row r="12">
      <c r="A12" s="3" t="inlineStr">
        <is>
          <t>Omron B3F-1000 Pushbutton</t>
        </is>
      </c>
      <c r="B12" s="3" t="inlineStr">
        <is>
          <t>SW1</t>
        </is>
      </c>
      <c r="C12" s="3" t="n">
        <v>1</v>
      </c>
      <c r="D12" s="4" t="n">
        <v>0.26</v>
      </c>
      <c r="E12" s="4">
        <f>C12*D12</f>
        <v/>
      </c>
      <c r="F12" s="3" t="inlineStr">
        <is>
          <t>Generic</t>
        </is>
      </c>
      <c r="G12" s="3" t="inlineStr"/>
      <c r="H12" s="3" t="inlineStr"/>
    </row>
    <row r="13">
      <c r="A13" s="3" t="inlineStr">
        <is>
          <t>Shrouded IDC Header, 2 × 4</t>
        </is>
      </c>
      <c r="B13" s="3" t="inlineStr">
        <is>
          <t>J3</t>
        </is>
      </c>
      <c r="C13" s="3" t="n">
        <v>1</v>
      </c>
      <c r="D13" s="4" t="n">
        <v>0.6</v>
      </c>
      <c r="E13" s="4">
        <f>C13*D13</f>
        <v/>
      </c>
      <c r="F13" s="3" t="inlineStr">
        <is>
          <t>Generic</t>
        </is>
      </c>
      <c r="G13" s="3" t="inlineStr"/>
      <c r="H13" s="3" t="inlineStr"/>
    </row>
    <row r="14">
      <c r="A14" s="3" t="inlineStr">
        <is>
          <t>Pin Header, 1 × 10</t>
        </is>
      </c>
      <c r="B14" s="3" t="inlineStr">
        <is>
          <t>J4, J5</t>
        </is>
      </c>
      <c r="C14" s="3" t="n">
        <v>2</v>
      </c>
      <c r="D14" s="4" t="n">
        <v>0.5</v>
      </c>
      <c r="E14" s="4">
        <f>C14*D14</f>
        <v/>
      </c>
      <c r="F14" s="3" t="inlineStr">
        <is>
          <t>Generic</t>
        </is>
      </c>
      <c r="G14" s="3" t="inlineStr"/>
      <c r="H14" s="3" t="inlineStr"/>
    </row>
    <row r="15">
      <c r="A15" s="3" t="inlineStr">
        <is>
          <t>Pin Header, 1 × 2, with Jumper</t>
        </is>
      </c>
      <c r="B15" s="3" t="inlineStr">
        <is>
          <t>JP1–JP5</t>
        </is>
      </c>
      <c r="C15" s="3" t="n">
        <v>5</v>
      </c>
      <c r="D15" s="4" t="n">
        <v>0.25</v>
      </c>
      <c r="E15" s="4">
        <f>C15*D15</f>
        <v/>
      </c>
      <c r="F15" s="3" t="inlineStr">
        <is>
          <t>Generic</t>
        </is>
      </c>
      <c r="G15" s="3" t="inlineStr"/>
      <c r="H15" s="3" t="inlineStr"/>
    </row>
    <row r="16">
      <c r="A16" s="3" t="inlineStr">
        <is>
          <t>Green LED, 0805</t>
        </is>
      </c>
      <c r="B16" s="3" t="inlineStr">
        <is>
          <t>D1, D4</t>
        </is>
      </c>
      <c r="C16" s="3" t="n">
        <v>2</v>
      </c>
      <c r="D16" s="4" t="n">
        <v>0.25</v>
      </c>
      <c r="E16" s="4">
        <f>C16*D16</f>
        <v/>
      </c>
      <c r="F16" s="3" t="inlineStr">
        <is>
          <t>Generic</t>
        </is>
      </c>
      <c r="G16" s="3" t="inlineStr"/>
      <c r="H16" s="3" t="inlineStr"/>
    </row>
    <row r="17">
      <c r="A17" s="3" t="inlineStr">
        <is>
          <t>Red LED, 0805</t>
        </is>
      </c>
      <c r="B17" s="3" t="inlineStr">
        <is>
          <t>D3</t>
        </is>
      </c>
      <c r="C17" s="3" t="n">
        <v>1</v>
      </c>
      <c r="D17" s="4" t="n">
        <v>0.25</v>
      </c>
      <c r="E17" s="4">
        <f>C17*D17</f>
        <v/>
      </c>
      <c r="F17" s="3" t="inlineStr">
        <is>
          <t>Generic</t>
        </is>
      </c>
      <c r="G17" s="3" t="inlineStr"/>
      <c r="H17" s="3" t="inlineStr"/>
    </row>
    <row r="18">
      <c r="A18" s="3" t="inlineStr">
        <is>
          <t>Resistor, 1 kΩ, 0805</t>
        </is>
      </c>
      <c r="B18" s="3" t="inlineStr">
        <is>
          <t>R1, R8</t>
        </is>
      </c>
      <c r="C18" s="3" t="n">
        <v>2</v>
      </c>
      <c r="D18" s="4" t="n">
        <v>0.1</v>
      </c>
      <c r="E18" s="4">
        <f>C18*D18</f>
        <v/>
      </c>
      <c r="F18" s="3" t="inlineStr">
        <is>
          <t>Generic</t>
        </is>
      </c>
      <c r="G18" s="3" t="inlineStr"/>
      <c r="H18" s="3" t="inlineStr"/>
    </row>
    <row r="19">
      <c r="A19" s="3" t="inlineStr">
        <is>
          <t>Resistor, 330 Ω, 0805</t>
        </is>
      </c>
      <c r="B19" s="3" t="inlineStr">
        <is>
          <t>R5, R6</t>
        </is>
      </c>
      <c r="C19" s="3" t="n">
        <v>2</v>
      </c>
      <c r="D19" s="4" t="n">
        <v>0.1</v>
      </c>
      <c r="E19" s="4">
        <f>C19*D19</f>
        <v/>
      </c>
      <c r="F19" s="3" t="inlineStr">
        <is>
          <t>Generic</t>
        </is>
      </c>
      <c r="G19" s="3" t="inlineStr"/>
      <c r="H19" s="3" t="inlineStr"/>
    </row>
    <row r="20">
      <c r="A20" s="3" t="inlineStr">
        <is>
          <t>Resistor, 10 kΩ, 0805</t>
        </is>
      </c>
      <c r="B20" s="3" t="inlineStr">
        <is>
          <t>R4, R7</t>
        </is>
      </c>
      <c r="C20" s="3" t="n">
        <v>2</v>
      </c>
      <c r="D20" s="4" t="n">
        <v>0.1</v>
      </c>
      <c r="E20" s="4">
        <f>C20*D20</f>
        <v/>
      </c>
      <c r="F20" s="3" t="inlineStr">
        <is>
          <t>Generic</t>
        </is>
      </c>
      <c r="G20" s="3" t="inlineStr"/>
      <c r="H20" s="3" t="inlineStr"/>
    </row>
    <row r="21">
      <c r="A21" s="3" t="inlineStr">
        <is>
          <t>Resistor, 100 Ω, 0805</t>
        </is>
      </c>
      <c r="B21" s="3" t="inlineStr">
        <is>
          <t>R2</t>
        </is>
      </c>
      <c r="C21" s="3" t="n">
        <v>1</v>
      </c>
      <c r="D21" s="4" t="n">
        <v>0.1</v>
      </c>
      <c r="E21" s="4">
        <f>C21*D21</f>
        <v/>
      </c>
      <c r="F21" s="3" t="inlineStr">
        <is>
          <t>Generic</t>
        </is>
      </c>
      <c r="G21" s="3" t="inlineStr"/>
      <c r="H21" s="3" t="inlineStr"/>
    </row>
    <row r="22">
      <c r="A22" s="3" t="inlineStr">
        <is>
          <t>Capacitor, 100 µF, 25 V, Electrolytic</t>
        </is>
      </c>
      <c r="B22" s="3" t="inlineStr">
        <is>
          <t>C1</t>
        </is>
      </c>
      <c r="C22" s="3" t="n">
        <v>1</v>
      </c>
      <c r="D22" s="4" t="n">
        <v>0.3</v>
      </c>
      <c r="E22" s="4">
        <f>C22*D22</f>
        <v/>
      </c>
      <c r="F22" s="3" t="inlineStr">
        <is>
          <t>Generic</t>
        </is>
      </c>
      <c r="G22" s="3" t="inlineStr"/>
      <c r="H22" s="3" t="inlineStr"/>
    </row>
    <row r="23">
      <c r="A23" s="3" t="inlineStr">
        <is>
          <t>Capacitor, 22 µF, 16 V, Electrolytic</t>
        </is>
      </c>
      <c r="B23" s="3" t="inlineStr">
        <is>
          <t>C3</t>
        </is>
      </c>
      <c r="C23" s="3" t="n">
        <v>1</v>
      </c>
      <c r="D23" s="4" t="n">
        <v>0.2</v>
      </c>
      <c r="E23" s="4">
        <f>C23*D23</f>
        <v/>
      </c>
      <c r="F23" s="3" t="inlineStr">
        <is>
          <t>Generic</t>
        </is>
      </c>
      <c r="G23" s="3" t="inlineStr"/>
      <c r="H23" s="3" t="inlineStr"/>
    </row>
    <row r="24">
      <c r="A24" s="3" t="inlineStr">
        <is>
          <t>Capacitor, 10 µF, 16 V, 0805</t>
        </is>
      </c>
      <c r="B24" s="3" t="inlineStr">
        <is>
          <t>C7</t>
        </is>
      </c>
      <c r="C24" s="3" t="n">
        <v>1</v>
      </c>
      <c r="D24" s="4" t="n">
        <v>0.25</v>
      </c>
      <c r="E24" s="4">
        <f>C24*D24</f>
        <v/>
      </c>
      <c r="F24" s="3" t="inlineStr">
        <is>
          <t>Generic</t>
        </is>
      </c>
      <c r="G24" s="3" t="inlineStr"/>
      <c r="H24" s="3" t="inlineStr"/>
    </row>
    <row r="25">
      <c r="A25" s="3" t="inlineStr">
        <is>
          <t>Capacitor, 1 µF, 16 V, 0805</t>
        </is>
      </c>
      <c r="B25" s="3" t="inlineStr">
        <is>
          <t>C9</t>
        </is>
      </c>
      <c r="C25" s="3" t="n">
        <v>1</v>
      </c>
      <c r="D25" s="4" t="n">
        <v>0.1</v>
      </c>
      <c r="E25" s="4">
        <f>C25*D25</f>
        <v/>
      </c>
      <c r="F25" s="3" t="inlineStr">
        <is>
          <t>Generic</t>
        </is>
      </c>
      <c r="G25" s="3" t="inlineStr"/>
      <c r="H25" s="3" t="inlineStr"/>
    </row>
    <row r="26">
      <c r="A26" s="3" t="inlineStr">
        <is>
          <t>Capacitor, 0.47 µF, 50 V, 0805</t>
        </is>
      </c>
      <c r="B26" s="3" t="inlineStr">
        <is>
          <t>C2</t>
        </is>
      </c>
      <c r="C26" s="3" t="n">
        <v>1</v>
      </c>
      <c r="D26" s="4" t="n">
        <v>0.1</v>
      </c>
      <c r="E26" s="4">
        <f>C26*D26</f>
        <v/>
      </c>
      <c r="F26" s="3" t="inlineStr">
        <is>
          <t>Generic</t>
        </is>
      </c>
      <c r="G26" s="3" t="inlineStr"/>
      <c r="H26" s="3" t="inlineStr"/>
    </row>
    <row r="27">
      <c r="A27" s="3" t="inlineStr">
        <is>
          <t>Capacitor, 0.1 µF, 50 V, 0805</t>
        </is>
      </c>
      <c r="B27" s="3" t="inlineStr">
        <is>
          <t>C4, C5, C6, C8</t>
        </is>
      </c>
      <c r="C27" s="3" t="n">
        <v>4</v>
      </c>
      <c r="D27" s="4" t="n">
        <v>0.1</v>
      </c>
      <c r="E27" s="4">
        <f>C27*D27</f>
        <v/>
      </c>
      <c r="F27" s="3" t="inlineStr">
        <is>
          <t>Generic</t>
        </is>
      </c>
      <c r="G27" s="3" t="inlineStr"/>
      <c r="H27" s="3" t="inlineStr"/>
    </row>
    <row r="28">
      <c r="A28" s="6" t="inlineStr">
        <is>
          <t>Total estimated cost</t>
        </is>
      </c>
      <c r="B28" s="3" t="inlineStr"/>
      <c r="C28" s="3" t="inlineStr"/>
      <c r="D28" s="4" t="inlineStr"/>
      <c r="E28" s="7">
        <f>SUM(E3:E27)</f>
        <v/>
      </c>
      <c r="F28" s="3" t="inlineStr"/>
      <c r="G28" s="3" t="inlineStr"/>
      <c r="H28" s="3" t="inlineStr"/>
    </row>
  </sheetData>
  <mergeCells count="1">
    <mergeCell ref="A1:H1"/>
  </mergeCells>
  <hyperlinks>
    <hyperlink xmlns:r="http://schemas.openxmlformats.org/officeDocument/2006/relationships" ref="G3" r:id="rId1"/>
    <hyperlink xmlns:r="http://schemas.openxmlformats.org/officeDocument/2006/relationships" ref="H3" r:id="rId2"/>
    <hyperlink xmlns:r="http://schemas.openxmlformats.org/officeDocument/2006/relationships" ref="G4" r:id="rId3"/>
    <hyperlink xmlns:r="http://schemas.openxmlformats.org/officeDocument/2006/relationships" ref="H4" r:id="rId4"/>
    <hyperlink xmlns:r="http://schemas.openxmlformats.org/officeDocument/2006/relationships" ref="G5" r:id="rId5"/>
    <hyperlink xmlns:r="http://schemas.openxmlformats.org/officeDocument/2006/relationships" ref="H5" r:id="rId6"/>
    <hyperlink xmlns:r="http://schemas.openxmlformats.org/officeDocument/2006/relationships" ref="G7" r:id="rId7"/>
    <hyperlink xmlns:r="http://schemas.openxmlformats.org/officeDocument/2006/relationships" ref="G9" r:id="rId8"/>
    <hyperlink xmlns:r="http://schemas.openxmlformats.org/officeDocument/2006/relationships" ref="G10" r:id="rId9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2026-10-29T05:36:48Z</dcterms:created>
  <dcterms:modified xsi:type="dcterms:W3CDTF">2026-10-29T05:36:48Z</dcterms:modified>
</cp:coreProperties>
</file>